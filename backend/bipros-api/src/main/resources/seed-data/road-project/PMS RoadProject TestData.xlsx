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Info" sheetId="1" state="visible" r:id="rId3"/>
    <sheet name="Supervisor Daily Rpt" sheetId="2" state="visible" r:id="rId4"/>
    <sheet name="Productivity Norms" sheetId="3" state="visible" r:id="rId5"/>
    <sheet name="Daily Cost Report" sheetId="4" state="visible" r:id="rId6"/>
    <sheet name="BOQ &amp; Budget" sheetId="5" state="visible" r:id="rId7"/>
    <sheet name="Approved Docu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<sst xmlns="http://schemas.openxmlformats.org/spreadsheetml/2006/main" count="1254" uniqueCount="633">
  <si>
    <t xml:space="preserve">PROJECT MANAGEMENT INFORMATION SYSTEM  –  TEST DATA WORKBOOK</t>
  </si>
  <si>
    <t xml:space="preserve">Road Construction Project  |  NH-48 Widening (Km 145+000 to Km 165+000), Rajasthan</t>
  </si>
  <si>
    <t xml:space="preserve">Parameter</t>
  </si>
  <si>
    <t xml:space="preserve">Details</t>
  </si>
  <si>
    <t xml:space="preserve">Project Name</t>
  </si>
  <si>
    <t xml:space="preserve">4-Lane Highway Construction – NH-48 (Rajasthan)</t>
  </si>
  <si>
    <t xml:space="preserve">Project Code</t>
  </si>
  <si>
    <t xml:space="preserve">BIPROS/NHAI/RJ/2025/001</t>
  </si>
  <si>
    <t xml:space="preserve">Client</t>
  </si>
  <si>
    <t xml:space="preserve">National Highways Authority of India (NHAI)</t>
  </si>
  <si>
    <t xml:space="preserve">Contractor</t>
  </si>
  <si>
    <t xml:space="preserve">ABC Infracon Pvt. Ltd.</t>
  </si>
  <si>
    <t xml:space="preserve">Project Manager</t>
  </si>
  <si>
    <t xml:space="preserve">Mr. Rajesh Kumar Sharma</t>
  </si>
  <si>
    <t xml:space="preserve">Start Date</t>
  </si>
  <si>
    <t xml:space="preserve">01-Jan-2025</t>
  </si>
  <si>
    <t xml:space="preserve">Planned Completion</t>
  </si>
  <si>
    <t xml:space="preserve">31-Dec-2026</t>
  </si>
  <si>
    <t xml:space="preserve">Contract Value</t>
  </si>
  <si>
    <t xml:space="preserve">₹ 485.60 Crore</t>
  </si>
  <si>
    <t xml:space="preserve">Total Length</t>
  </si>
  <si>
    <t xml:space="preserve">20.00 km</t>
  </si>
  <si>
    <t xml:space="preserve">Project Location</t>
  </si>
  <si>
    <t xml:space="preserve">Rajasthan State – NH-48 Corridor</t>
  </si>
  <si>
    <t xml:space="preserve">PMS Version</t>
  </si>
  <si>
    <t xml:space="preserve">v1.0 – Test Dataset April 2025</t>
  </si>
  <si>
    <t xml:space="preserve">WORKBOOK SHEET INDEX</t>
  </si>
  <si>
    <t xml:space="preserve">Sheet No.</t>
  </si>
  <si>
    <t xml:space="preserve">Sheet Name</t>
  </si>
  <si>
    <t xml:space="preserve">Description</t>
  </si>
  <si>
    <t xml:space="preserve">1</t>
  </si>
  <si>
    <t xml:space="preserve">Project Info</t>
  </si>
  <si>
    <t xml:space="preserve">Cover sheet – project metadata &amp; workbook index</t>
  </si>
  <si>
    <t xml:space="preserve">2</t>
  </si>
  <si>
    <t xml:space="preserve">Supervisor Daily Rpt</t>
  </si>
  <si>
    <t xml:space="preserve">Daily executed works, resources, weather, photos &amp; next-day plan</t>
  </si>
  <si>
    <t xml:space="preserve">3</t>
  </si>
  <si>
    <t xml:space="preserve">Productivity Norms</t>
  </si>
  <si>
    <t xml:space="preserve">Activity-wise manpower &amp; equipment productivity norms</t>
  </si>
  <si>
    <t xml:space="preserve">4</t>
  </si>
  <si>
    <t xml:space="preserve">Daily Cost Report</t>
  </si>
  <si>
    <t xml:space="preserve">Supervisor work vs budgeted rates; resource &amp; material costs</t>
  </si>
  <si>
    <t xml:space="preserve">5</t>
  </si>
  <si>
    <t xml:space="preserve">BOQ &amp; Budget</t>
  </si>
  <si>
    <t xml:space="preserve">BOQ rates, budgeted unit rates, resource deployment &amp; variance</t>
  </si>
  <si>
    <t xml:space="preserve">6</t>
  </si>
  <si>
    <t xml:space="preserve">Approved Documents</t>
  </si>
  <si>
    <t xml:space="preserve">Register of approved drawings, specs, method statements, ITP &amp; plans</t>
  </si>
  <si>
    <t xml:space="preserve">SUPERVISOR DAILY REPORT  –  Site Execution Log</t>
  </si>
  <si>
    <t xml:space="preserve">Project: NH-48 Widening | Contractor: ABC Infracon Pvt. Ltd. | Period: 07-Apr-2025 to 21-Apr-2025</t>
  </si>
  <si>
    <t xml:space="preserve">SECTION A – DAILY EXECUTED WORK BY SUPERVISOR</t>
  </si>
  <si>
    <t xml:space="preserve">Date</t>
  </si>
  <si>
    <t xml:space="preserve">Supervisor
Name</t>
  </si>
  <si>
    <t xml:space="preserve">Chain-age
(km)</t>
  </si>
  <si>
    <t xml:space="preserve">Activity</t>
  </si>
  <si>
    <t xml:space="preserve">Work
Executed
(Unit)</t>
  </si>
  <si>
    <t xml:space="preserve">Qty
Executed</t>
  </si>
  <si>
    <t xml:space="preserve">Unit</t>
  </si>
  <si>
    <t xml:space="preserve">Cumulative
Qty</t>
  </si>
  <si>
    <t xml:space="preserve">Remarks</t>
  </si>
  <si>
    <t xml:space="preserve">07-Apr-25</t>
  </si>
  <si>
    <t xml:space="preserve">R.K. Verma</t>
  </si>
  <si>
    <t xml:space="preserve">145+000 to 145+500</t>
  </si>
  <si>
    <t xml:space="preserve">Earthwork – Excavation</t>
  </si>
  <si>
    <t xml:space="preserve">Cum</t>
  </si>
  <si>
    <t xml:space="preserve">Normal progress</t>
  </si>
  <si>
    <t xml:space="preserve">Embankment Filling</t>
  </si>
  <si>
    <t xml:space="preserve">Soil from borrow area</t>
  </si>
  <si>
    <t xml:space="preserve">08-Apr-25</t>
  </si>
  <si>
    <t xml:space="preserve">145+500 to 146+000</t>
  </si>
  <si>
    <t xml:space="preserve">Good weather</t>
  </si>
  <si>
    <t xml:space="preserve">Compaction done 3 passes</t>
  </si>
  <si>
    <t xml:space="preserve">09-Apr-25</t>
  </si>
  <si>
    <t xml:space="preserve">S.P. Singh</t>
  </si>
  <si>
    <t xml:space="preserve">146+000 to 146+600</t>
  </si>
  <si>
    <t xml:space="preserve">GSB – Granular Sub-Base</t>
  </si>
  <si>
    <t xml:space="preserve">Quality checked</t>
  </si>
  <si>
    <t xml:space="preserve">WMM – Wet Mix Macadam</t>
  </si>
  <si>
    <t xml:space="preserve">Lab test passed</t>
  </si>
  <si>
    <t xml:space="preserve">10-Apr-25</t>
  </si>
  <si>
    <t xml:space="preserve">146+600 to 147+000</t>
  </si>
  <si>
    <t xml:space="preserve">Slight delay – material</t>
  </si>
  <si>
    <t xml:space="preserve">Pending compaction</t>
  </si>
  <si>
    <t xml:space="preserve">11-Apr-25</t>
  </si>
  <si>
    <t xml:space="preserve">147+000 to 147+600</t>
  </si>
  <si>
    <t xml:space="preserve">DBM – Dense Bituminous Macadam</t>
  </si>
  <si>
    <t xml:space="preserve">MT</t>
  </si>
  <si>
    <t xml:space="preserve">Temp. 155°C maintained</t>
  </si>
  <si>
    <t xml:space="preserve">BC – Bituminous Concrete</t>
  </si>
  <si>
    <t xml:space="preserve">Smooth finish achieved</t>
  </si>
  <si>
    <t xml:space="preserve">12-Apr-25</t>
  </si>
  <si>
    <t xml:space="preserve">147+600 to 148+000</t>
  </si>
  <si>
    <t xml:space="preserve">Good paving conditions</t>
  </si>
  <si>
    <t xml:space="preserve">Rolling complete</t>
  </si>
  <si>
    <t xml:space="preserve">14-Apr-25</t>
  </si>
  <si>
    <t xml:space="preserve">M.D. Rao</t>
  </si>
  <si>
    <t xml:space="preserve">148+000 to 148+500</t>
  </si>
  <si>
    <t xml:space="preserve">Drainage – Catch Water Drain</t>
  </si>
  <si>
    <t xml:space="preserve">Rm</t>
  </si>
  <si>
    <t xml:space="preserve">RCC work in progress</t>
  </si>
  <si>
    <t xml:space="preserve">Culvert – Minor Culvert</t>
  </si>
  <si>
    <t xml:space="preserve">Each</t>
  </si>
  <si>
    <t xml:space="preserve">Concreting done</t>
  </si>
  <si>
    <t xml:space="preserve">15-Apr-25</t>
  </si>
  <si>
    <t xml:space="preserve">148+500 to 149+000</t>
  </si>
  <si>
    <t xml:space="preserve">Shuttering removed</t>
  </si>
  <si>
    <t xml:space="preserve">Catch water drain trench</t>
  </si>
  <si>
    <t xml:space="preserve">16-Apr-25</t>
  </si>
  <si>
    <t xml:space="preserve">149+000 to 149+600</t>
  </si>
  <si>
    <t xml:space="preserve">Material from crusher</t>
  </si>
  <si>
    <t xml:space="preserve">17-Apr-25</t>
  </si>
  <si>
    <t xml:space="preserve">149+600 to 150+000</t>
  </si>
  <si>
    <t xml:space="preserve">Moisture content OK</t>
  </si>
  <si>
    <t xml:space="preserve">18-Apr-25</t>
  </si>
  <si>
    <t xml:space="preserve">150+000 to 150+600</t>
  </si>
  <si>
    <t xml:space="preserve">Night paving done</t>
  </si>
  <si>
    <t xml:space="preserve">21-Apr-25</t>
  </si>
  <si>
    <t xml:space="preserve">150+600 to 151+000</t>
  </si>
  <si>
    <t xml:space="preserve">Final wearing course</t>
  </si>
  <si>
    <t xml:space="preserve">SECTION B – DAILY RESOURCE DEPLOYMENT</t>
  </si>
  <si>
    <t xml:space="preserve">Resource Type</t>
  </si>
  <si>
    <t xml:space="preserve">Resource Description</t>
  </si>
  <si>
    <t xml:space="preserve">Nos.
Planned</t>
  </si>
  <si>
    <t xml:space="preserve">Nos.
Deployed</t>
  </si>
  <si>
    <t xml:space="preserve">Hours
Worked</t>
  </si>
  <si>
    <t xml:space="preserve">Idle
Hours</t>
  </si>
  <si>
    <t xml:space="preserve">Manpower</t>
  </si>
  <si>
    <t xml:space="preserve">General Labourers</t>
  </si>
  <si>
    <t xml:space="preserve">Full shift</t>
  </si>
  <si>
    <t xml:space="preserve">Skilled Masons</t>
  </si>
  <si>
    <t xml:space="preserve">1 absent</t>
  </si>
  <si>
    <t xml:space="preserve">Equipment</t>
  </si>
  <si>
    <t xml:space="preserve">Excavator (JCB 210)</t>
  </si>
  <si>
    <t xml:space="preserve">All operational</t>
  </si>
  <si>
    <t xml:space="preserve">Tipper / Dumper (10T)</t>
  </si>
  <si>
    <t xml:space="preserve">1 under maintenance</t>
  </si>
  <si>
    <t xml:space="preserve">Full attendance</t>
  </si>
  <si>
    <t xml:space="preserve">Compactor (Vibratory Roller)</t>
  </si>
  <si>
    <t xml:space="preserve">Smooth operation</t>
  </si>
  <si>
    <t xml:space="preserve">Motor Grader</t>
  </si>
  <si>
    <t xml:space="preserve">Levelling complete</t>
  </si>
  <si>
    <t xml:space="preserve">4 on leave</t>
  </si>
  <si>
    <t xml:space="preserve">Paver Finisher</t>
  </si>
  <si>
    <t xml:space="preserve">GSB laying</t>
  </si>
  <si>
    <t xml:space="preserve">Wet Mix Plant</t>
  </si>
  <si>
    <t xml:space="preserve">WMM production</t>
  </si>
  <si>
    <t xml:space="preserve">Skilled Operators</t>
  </si>
  <si>
    <t xml:space="preserve">1 on training</t>
  </si>
  <si>
    <t xml:space="preserve">1 breakdown – repaired</t>
  </si>
  <si>
    <t xml:space="preserve">Hot Mix Plant Operators</t>
  </si>
  <si>
    <t xml:space="preserve">Night shift included</t>
  </si>
  <si>
    <t xml:space="preserve">Sensor Paver</t>
  </si>
  <si>
    <t xml:space="preserve">DBM laying</t>
  </si>
  <si>
    <t xml:space="preserve">Pneumatic Tyre Roller</t>
  </si>
  <si>
    <t xml:space="preserve">BC compaction</t>
  </si>
  <si>
    <t xml:space="preserve">Normal attendance</t>
  </si>
  <si>
    <t xml:space="preserve">Carpenters / Shuttering</t>
  </si>
  <si>
    <t xml:space="preserve">Culvert formwork</t>
  </si>
  <si>
    <t xml:space="preserve">Concrete Batching Operators</t>
  </si>
  <si>
    <t xml:space="preserve">Concrete mix M25</t>
  </si>
  <si>
    <t xml:space="preserve">Concrete Mixer (1 Cum)</t>
  </si>
  <si>
    <t xml:space="preserve">Good output</t>
  </si>
  <si>
    <t xml:space="preserve">Full utilisation</t>
  </si>
  <si>
    <t xml:space="preserve">SECTION C – DAILY WEATHER DATA</t>
  </si>
  <si>
    <t xml:space="preserve">Temp Max
(°C)</t>
  </si>
  <si>
    <t xml:space="preserve">Temp Min
(°C)</t>
  </si>
  <si>
    <t xml:space="preserve">Rainfall
(mm)</t>
  </si>
  <si>
    <t xml:space="preserve">Wind
Speed
(km/h)</t>
  </si>
  <si>
    <t xml:space="preserve">Weather
Condition</t>
  </si>
  <si>
    <t xml:space="preserve">Working
Hours</t>
  </si>
  <si>
    <t xml:space="preserve">Clear &amp; Sunny</t>
  </si>
  <si>
    <t xml:space="preserve">Good paving weather</t>
  </si>
  <si>
    <t xml:space="preserve">Partly Cloudy</t>
  </si>
  <si>
    <t xml:space="preserve">Suitable for earthwork</t>
  </si>
  <si>
    <t xml:space="preserve">Hot &amp; Sunny</t>
  </si>
  <si>
    <t xml:space="preserve">Bitumen temp monitored</t>
  </si>
  <si>
    <t xml:space="preserve">Overcast</t>
  </si>
  <si>
    <t xml:space="preserve">Slight shower – 1 hr halt</t>
  </si>
  <si>
    <t xml:space="preserve">Clear</t>
  </si>
  <si>
    <t xml:space="preserve">Night work feasible</t>
  </si>
  <si>
    <t xml:space="preserve">Sunny</t>
  </si>
  <si>
    <t xml:space="preserve">All activities normal</t>
  </si>
  <si>
    <t xml:space="preserve">Hot</t>
  </si>
  <si>
    <t xml:space="preserve">Concreting early morning</t>
  </si>
  <si>
    <t xml:space="preserve">Cloudy/Showers</t>
  </si>
  <si>
    <t xml:space="preserve">2 hr work stoppage</t>
  </si>
  <si>
    <t xml:space="preserve">Resumed full work</t>
  </si>
  <si>
    <t xml:space="preserve">Normal</t>
  </si>
  <si>
    <t xml:space="preserve">Night paving continued</t>
  </si>
  <si>
    <t xml:space="preserve">Wearing course complete</t>
  </si>
  <si>
    <t xml:space="preserve">SECTION D – NEXT DAY PLAN &amp; CONCERNS / REMARKS</t>
  </si>
  <si>
    <t xml:space="preserve">Next Day
Activity</t>
  </si>
  <si>
    <t xml:space="preserve">Chainagé</t>
  </si>
  <si>
    <t xml:space="preserve">Target
Qty</t>
  </si>
  <si>
    <t xml:space="preserve">Concerns / Remarks</t>
  </si>
  <si>
    <t xml:space="preserve">Action
By</t>
  </si>
  <si>
    <t xml:space="preserve">Due
Date</t>
  </si>
  <si>
    <t xml:space="preserve">Continue Excavation + Embankment</t>
  </si>
  <si>
    <t xml:space="preserve">145+500–146+000</t>
  </si>
  <si>
    <t xml:space="preserve">Ensure borrow area vehicles available</t>
  </si>
  <si>
    <t xml:space="preserve">Site Engr.</t>
  </si>
  <si>
    <t xml:space="preserve">GSB + WMM Laying</t>
  </si>
  <si>
    <t xml:space="preserve">146+000–146+600</t>
  </si>
  <si>
    <t xml:space="preserve">Crusher material delivery confirmation needed</t>
  </si>
  <si>
    <t xml:space="preserve">Store Keeper</t>
  </si>
  <si>
    <t xml:space="preserve">GSB + WMM continued</t>
  </si>
  <si>
    <t xml:space="preserve">146+600–147+000</t>
  </si>
  <si>
    <t xml:space="preserve">Compaction roller idle time to be reduced</t>
  </si>
  <si>
    <t xml:space="preserve">Plant Incharge</t>
  </si>
  <si>
    <t xml:space="preserve">DBM + BC Paving</t>
  </si>
  <si>
    <t xml:space="preserve">147+000–147+600</t>
  </si>
  <si>
    <t xml:space="preserve">HMP to run overnight to meet targets</t>
  </si>
  <si>
    <t xml:space="preserve">HMP Operator</t>
  </si>
  <si>
    <t xml:space="preserve">DBM + BC continued</t>
  </si>
  <si>
    <t xml:space="preserve">147+600–148+000</t>
  </si>
  <si>
    <t xml:space="preserve">Bitumen stock to be checked – min 20 MT</t>
  </si>
  <si>
    <t xml:space="preserve">Culvert + Drain work</t>
  </si>
  <si>
    <t xml:space="preserve">148+000–148+500</t>
  </si>
  <si>
    <t xml:space="preserve">2 nos.</t>
  </si>
  <si>
    <t xml:space="preserve">Each/Rm</t>
  </si>
  <si>
    <t xml:space="preserve">Formwork to be readied by 0700 hrs</t>
  </si>
  <si>
    <t xml:space="preserve">Carpenter</t>
  </si>
  <si>
    <t xml:space="preserve">Culvert + Drainage</t>
  </si>
  <si>
    <t xml:space="preserve">148+500–149+000</t>
  </si>
  <si>
    <t xml:space="preserve">Concrete curing compound required</t>
  </si>
  <si>
    <t xml:space="preserve">QC Engineer</t>
  </si>
  <si>
    <t xml:space="preserve">GSB Laying</t>
  </si>
  <si>
    <t xml:space="preserve">149+000–149+600</t>
  </si>
  <si>
    <t xml:space="preserve">Rain forecast – have backup activity ready</t>
  </si>
  <si>
    <t xml:space="preserve">Supervisor</t>
  </si>
  <si>
    <t xml:space="preserve">WMM Laying</t>
  </si>
  <si>
    <t xml:space="preserve">149+600–150+000</t>
  </si>
  <si>
    <t xml:space="preserve">Moisture optimum to be checked before rolling</t>
  </si>
  <si>
    <t xml:space="preserve">Lab Technician</t>
  </si>
  <si>
    <t xml:space="preserve">DBM Night Paving</t>
  </si>
  <si>
    <t xml:space="preserve">150+000–150+600</t>
  </si>
  <si>
    <t xml:space="preserve">Generator backup for night lighting required</t>
  </si>
  <si>
    <t xml:space="preserve">Electrician</t>
  </si>
  <si>
    <t xml:space="preserve">BC – Wearing Course</t>
  </si>
  <si>
    <t xml:space="preserve">150+600–151+000</t>
  </si>
  <si>
    <t xml:space="preserve">Final level survey before paving</t>
  </si>
  <si>
    <t xml:space="preserve">Survey Team</t>
  </si>
  <si>
    <t xml:space="preserve">PRODUCTIVITY NORMS  –  Manpower &amp; Equipment  |  NH-48 Widening Project</t>
  </si>
  <si>
    <t xml:space="preserve">SECTION A – MANPOWER PRODUCTIVITY NORMS (Activity-wise)</t>
  </si>
  <si>
    <t xml:space="preserve">S.No.</t>
  </si>
  <si>
    <t xml:space="preserve">Unit of
Measurement</t>
  </si>
  <si>
    <t xml:space="preserve">Output
per Man
per Day</t>
  </si>
  <si>
    <t xml:space="preserve">No. of
Men
Required</t>
  </si>
  <si>
    <t xml:space="preserve">Gang
Output
per Day</t>
  </si>
  <si>
    <t xml:space="preserve">Earthwork – Excavation (Soft Rock)</t>
  </si>
  <si>
    <t xml:space="preserve">Manual with mechanical support</t>
  </si>
  <si>
    <t xml:space="preserve">Earthwork – Excavation (Hard Rock)</t>
  </si>
  <si>
    <t xml:space="preserve">Blasting + manual</t>
  </si>
  <si>
    <t xml:space="preserve">Embankment Filling &amp; Compaction</t>
  </si>
  <si>
    <t xml:space="preserve">Dozer + tipper gang</t>
  </si>
  <si>
    <t xml:space="preserve">GSB (Granular Sub-Base) Laying</t>
  </si>
  <si>
    <t xml:space="preserve">Includes spreading &amp; compaction</t>
  </si>
  <si>
    <t xml:space="preserve">WMM (Wet Mix Macadam) Laying</t>
  </si>
  <si>
    <t xml:space="preserve">Paver + roller gang</t>
  </si>
  <si>
    <t xml:space="preserve">DBM (Dense Bituminous Macadam)</t>
  </si>
  <si>
    <t xml:space="preserve">HMP + paver + 2 rollers</t>
  </si>
  <si>
    <t xml:space="preserve">BC (Bituminous Concrete)</t>
  </si>
  <si>
    <t xml:space="preserve">Concrete – M25 (RCC Works)</t>
  </si>
  <si>
    <t xml:space="preserve">Batching plant based</t>
  </si>
  <si>
    <t xml:space="preserve">Concrete – M30 (Culvert / Bridge)</t>
  </si>
  <si>
    <t xml:space="preserve">Includes formwork gang</t>
  </si>
  <si>
    <t xml:space="preserve">Catch Water Drain (Stone Masonry)</t>
  </si>
  <si>
    <t xml:space="preserve">Including mortar mix</t>
  </si>
  <si>
    <t xml:space="preserve">Pipe Culvert Installation</t>
  </si>
  <si>
    <t xml:space="preserve">900mm dia NP3 pipe</t>
  </si>
  <si>
    <t xml:space="preserve">Road Marking (Thermoplastic)</t>
  </si>
  <si>
    <t xml:space="preserve">Machine applied</t>
  </si>
  <si>
    <t xml:space="preserve">Sign Board Installation</t>
  </si>
  <si>
    <t xml:space="preserve">Including foundation</t>
  </si>
  <si>
    <t xml:space="preserve">Kerb Stone Laying</t>
  </si>
  <si>
    <t xml:space="preserve">Pre-cast kerb</t>
  </si>
  <si>
    <t xml:space="preserve">SECTION B – EQUIPMENT PRODUCTIVITY NORMS (Activity-wise)</t>
  </si>
  <si>
    <t xml:space="preserve">Equipment Type</t>
  </si>
  <si>
    <t xml:space="preserve">Capacity /
Specification</t>
  </si>
  <si>
    <t xml:space="preserve">Output
per Hour</t>
  </si>
  <si>
    <t xml:space="preserve">Working
Hrs/Day</t>
  </si>
  <si>
    <t xml:space="preserve">Output
per Day</t>
  </si>
  <si>
    <t xml:space="preserve">Fuel
Consumption
(Ltrs/Hr)</t>
  </si>
  <si>
    <t xml:space="preserve">Excavator</t>
  </si>
  <si>
    <t xml:space="preserve">JCB 210 (1.0 Cum Bucket)</t>
  </si>
  <si>
    <t xml:space="preserve">Excavation (Soft Soil)</t>
  </si>
  <si>
    <t xml:space="preserve">Including cycle time</t>
  </si>
  <si>
    <t xml:space="preserve">Excavation (Hard Rock)</t>
  </si>
  <si>
    <t xml:space="preserve">Blasting support needed</t>
  </si>
  <si>
    <t xml:space="preserve">Tipper / Dumper</t>
  </si>
  <si>
    <t xml:space="preserve">10T Capacity</t>
  </si>
  <si>
    <t xml:space="preserve">Earth Transport (2 km)</t>
  </si>
  <si>
    <t xml:space="preserve">Per vehicle</t>
  </si>
  <si>
    <t xml:space="preserve">135 HP</t>
  </si>
  <si>
    <t xml:space="preserve">Surface Levelling</t>
  </si>
  <si>
    <t xml:space="preserve">Sqm</t>
  </si>
  <si>
    <t xml:space="preserve">Embankment shaping</t>
  </si>
  <si>
    <t xml:space="preserve">Vibratory Roller</t>
  </si>
  <si>
    <t xml:space="preserve">10T Static Weight</t>
  </si>
  <si>
    <t xml:space="preserve">Compaction (Earthwork)</t>
  </si>
  <si>
    <t xml:space="preserve">4 passes required</t>
  </si>
  <si>
    <t xml:space="preserve">Compaction (GSB/WMM)</t>
  </si>
  <si>
    <t xml:space="preserve">3 passes</t>
  </si>
  <si>
    <t xml:space="preserve">8T</t>
  </si>
  <si>
    <t xml:space="preserve">Compaction (Bituminous)</t>
  </si>
  <si>
    <t xml:space="preserve">DBM/BC</t>
  </si>
  <si>
    <t xml:space="preserve">60 TPH</t>
  </si>
  <si>
    <t xml:space="preserve">WMM Production</t>
  </si>
  <si>
    <t xml:space="preserve">Including water addition</t>
  </si>
  <si>
    <t xml:space="preserve">Sensor Paver (5m)</t>
  </si>
  <si>
    <t xml:space="preserve">WMM / GSB Laying</t>
  </si>
  <si>
    <t xml:space="preserve">Hot Mix Plant</t>
  </si>
  <si>
    <t xml:space="preserve">DBM / BC Production</t>
  </si>
  <si>
    <t xml:space="preserve">Drum type</t>
  </si>
  <si>
    <t xml:space="preserve">Asphalt Sensor Paver</t>
  </si>
  <si>
    <t xml:space="preserve">5.5m Width</t>
  </si>
  <si>
    <t xml:space="preserve">DBM / BC Laying</t>
  </si>
  <si>
    <t xml:space="preserve">Temperature 145–155°C</t>
  </si>
  <si>
    <t xml:space="preserve">Concrete Batching Plant</t>
  </si>
  <si>
    <t xml:space="preserve">30 CumM/Hr</t>
  </si>
  <si>
    <t xml:space="preserve">RCC Works</t>
  </si>
  <si>
    <t xml:space="preserve">Including water &amp; admixture</t>
  </si>
  <si>
    <t xml:space="preserve">Concrete Transit Mixer</t>
  </si>
  <si>
    <t xml:space="preserve">6 Cum</t>
  </si>
  <si>
    <t xml:space="preserve">Concrete Transport</t>
  </si>
  <si>
    <t xml:space="preserve">Backhoe Loader</t>
  </si>
  <si>
    <t xml:space="preserve">1.0 Cum</t>
  </si>
  <si>
    <t xml:space="preserve">Drain Excavation</t>
  </si>
  <si>
    <t xml:space="preserve">Narrow trench work</t>
  </si>
  <si>
    <t xml:space="preserve">Crane (Mobile)</t>
  </si>
  <si>
    <t xml:space="preserve">30T Capacity</t>
  </si>
  <si>
    <t xml:space="preserve">Culvert Pipe Laying</t>
  </si>
  <si>
    <t xml:space="preserve">Including slings &amp; rigging</t>
  </si>
  <si>
    <t xml:space="preserve">SECTION C – RESOURCE DEPLOYMENT MATRIX (Weekly)</t>
  </si>
  <si>
    <t xml:space="preserve">Resource Name</t>
  </si>
  <si>
    <t xml:space="preserve">Qty
Available</t>
  </si>
  <si>
    <t xml:space="preserve">Week 1
(7–11 Apr)</t>
  </si>
  <si>
    <t xml:space="preserve">Week 2
(14–18 Apr)</t>
  </si>
  <si>
    <t xml:space="preserve">Week 3
(21–25 Apr)</t>
  </si>
  <si>
    <t xml:space="preserve">Total
Days</t>
  </si>
  <si>
    <t xml:space="preserve">Utilisation
%</t>
  </si>
  <si>
    <t xml:space="preserve">High availability</t>
  </si>
  <si>
    <t xml:space="preserve">Good utilisation</t>
  </si>
  <si>
    <t xml:space="preserve">Supervisors</t>
  </si>
  <si>
    <t xml:space="preserve">Full deployment</t>
  </si>
  <si>
    <t xml:space="preserve">Engineers (Site)</t>
  </si>
  <si>
    <t xml:space="preserve">Excavator JCB 210</t>
  </si>
  <si>
    <t xml:space="preserve">1 breakdown on Apr 10</t>
  </si>
  <si>
    <t xml:space="preserve">Tipper / Dumper 10T</t>
  </si>
  <si>
    <t xml:space="preserve">1 maintenance – Apr 7</t>
  </si>
  <si>
    <t xml:space="preserve">Fully utilised</t>
  </si>
  <si>
    <t xml:space="preserve">Compaction as planned</t>
  </si>
  <si>
    <t xml:space="preserve">Continuous deployment</t>
  </si>
  <si>
    <t xml:space="preserve">Night ops week 2</t>
  </si>
  <si>
    <t xml:space="preserve">Idle in week 1</t>
  </si>
  <si>
    <t xml:space="preserve">Culvert work week 2+</t>
  </si>
  <si>
    <t xml:space="preserve">Material</t>
  </si>
  <si>
    <t xml:space="preserve">Bitumen VG-30 (MT)</t>
  </si>
  <si>
    <t xml:space="preserve">Adequate stock</t>
  </si>
  <si>
    <t xml:space="preserve">Aggregate (Cum)</t>
  </si>
  <si>
    <t xml:space="preserve">Crusher supply</t>
  </si>
  <si>
    <t xml:space="preserve">Cement (Bags)</t>
  </si>
  <si>
    <t xml:space="preserve">For culvert works</t>
  </si>
  <si>
    <t xml:space="preserve">DAILY COST REPORT  –  Supervisor Execution vs Budgeted Unit Rates</t>
  </si>
  <si>
    <t xml:space="preserve">Project: NH-48 Widening | Period: 07-Apr-2025 to 21-Apr-2025 | All rates in ₹</t>
  </si>
  <si>
    <t xml:space="preserve">SECTION A – UNIT RATE MASTER  (Equipment / Manpower / Material / Sub-Contract)</t>
  </si>
  <si>
    <t xml:space="preserve">Resource Category</t>
  </si>
  <si>
    <t xml:space="preserve">Budgeted
Rate (₹)</t>
  </si>
  <si>
    <t xml:space="preserve">Actual
Rate (₹)</t>
  </si>
  <si>
    <t xml:space="preserve">Variance
(₹)</t>
  </si>
  <si>
    <t xml:space="preserve">Variance
%</t>
  </si>
  <si>
    <t xml:space="preserve">Hour</t>
  </si>
  <si>
    <t xml:space="preserve">Over budget</t>
  </si>
  <si>
    <t xml:space="preserve">Under budget</t>
  </si>
  <si>
    <t xml:space="preserve">Motor Grader 135HP</t>
  </si>
  <si>
    <t xml:space="preserve">Vibratory Roller 10T</t>
  </si>
  <si>
    <t xml:space="preserve">Paver Finisher (Sensor)</t>
  </si>
  <si>
    <t xml:space="preserve">Hot Mix Plant 60 TPH</t>
  </si>
  <si>
    <t xml:space="preserve">General Labourer</t>
  </si>
  <si>
    <t xml:space="preserve">Day</t>
  </si>
  <si>
    <t xml:space="preserve">Skilled Mason</t>
  </si>
  <si>
    <t xml:space="preserve">Equipment Operator</t>
  </si>
  <si>
    <t xml:space="preserve">On budget</t>
  </si>
  <si>
    <t xml:space="preserve">Site Engineer</t>
  </si>
  <si>
    <t xml:space="preserve">Bitumen VG-30</t>
  </si>
  <si>
    <t xml:space="preserve">Aggregate (20mm)</t>
  </si>
  <si>
    <t xml:space="preserve">Aggregate (10mm)</t>
  </si>
  <si>
    <t xml:space="preserve">Sand (Fine)</t>
  </si>
  <si>
    <t xml:space="preserve">Cement OPC 43</t>
  </si>
  <si>
    <t xml:space="preserve">Bag</t>
  </si>
  <si>
    <t xml:space="preserve">GSB Material</t>
  </si>
  <si>
    <t xml:space="preserve">WMM Aggregate</t>
  </si>
  <si>
    <t xml:space="preserve">Sub-Contract</t>
  </si>
  <si>
    <t xml:space="preserve">Earthwork Excavation</t>
  </si>
  <si>
    <t xml:space="preserve">Embankment Compaction</t>
  </si>
  <si>
    <t xml:space="preserve">Road Marking</t>
  </si>
  <si>
    <t xml:space="preserve">Concrete Culvert</t>
  </si>
  <si>
    <t xml:space="preserve">SECTION B – DAILY WORK EXECUTED vs BUDGETED COST</t>
  </si>
  <si>
    <t xml:space="preserve">Budgeted
Unit Rate
(₹)</t>
  </si>
  <si>
    <t xml:space="preserve">Actual
Unit Rate
(₹)</t>
  </si>
  <si>
    <t xml:space="preserve">Budgeted
Cost (₹)</t>
  </si>
  <si>
    <t xml:space="preserve">Actual
Cost (₹)</t>
  </si>
  <si>
    <t xml:space="preserve">Drainage – CWD (Stone Masonry)</t>
  </si>
  <si>
    <t xml:space="preserve">Culvert – Minor</t>
  </si>
  <si>
    <t xml:space="preserve">Drainage – CWD</t>
  </si>
  <si>
    <t xml:space="preserve">PERIOD TOTAL</t>
  </si>
  <si>
    <t xml:space="preserve">SECTION C – MATERIAL CONSUMPTION (By Supervisor / Store Keeper)</t>
  </si>
  <si>
    <t xml:space="preserve">Material
Description</t>
  </si>
  <si>
    <t xml:space="preserve">Opening
Stock</t>
  </si>
  <si>
    <t xml:space="preserve">Received</t>
  </si>
  <si>
    <t xml:space="preserve">Consumed</t>
  </si>
  <si>
    <t xml:space="preserve">Closing
Stock</t>
  </si>
  <si>
    <t xml:space="preserve">Wastage
%</t>
  </si>
  <si>
    <t xml:space="preserve">Issued
By</t>
  </si>
  <si>
    <t xml:space="preserve">Received
By</t>
  </si>
  <si>
    <t xml:space="preserve">Store – Ajay</t>
  </si>
  <si>
    <t xml:space="preserve">Store – Pradeep</t>
  </si>
  <si>
    <t xml:space="preserve">BOQ &amp; BUDGET  –  Rates, Resource Deployment &amp; Variance Analysis</t>
  </si>
  <si>
    <t xml:space="preserve">BOQ ITEM REGISTER – Rates &amp; Budget vs Actual</t>
  </si>
  <si>
    <t xml:space="preserve">Item
No.</t>
  </si>
  <si>
    <t xml:space="preserve">Description of Work</t>
  </si>
  <si>
    <t xml:space="preserve">BOQ
Qty</t>
  </si>
  <si>
    <t xml:space="preserve">BOQ Rate
(₹)</t>
  </si>
  <si>
    <t xml:space="preserve">BOQ
Amount (₹)</t>
  </si>
  <si>
    <t xml:space="preserve">Budgeted
Amount (₹)</t>
  </si>
  <si>
    <t xml:space="preserve">Qty
Executed
(to date)</t>
  </si>
  <si>
    <t xml:space="preserve">Actual
Amount (₹)</t>
  </si>
  <si>
    <t xml:space="preserve">% Work
Complete</t>
  </si>
  <si>
    <t xml:space="preserve">Cost
Variance (₹)</t>
  </si>
  <si>
    <t xml:space="preserve">Var %</t>
  </si>
  <si>
    <t xml:space="preserve">1.1</t>
  </si>
  <si>
    <t xml:space="preserve">Earthwork – Excavation in all types of soil</t>
  </si>
  <si>
    <t xml:space="preserve">1.2</t>
  </si>
  <si>
    <t xml:space="preserve">Earthwork – Embankment &amp; Compaction</t>
  </si>
  <si>
    <t xml:space="preserve">2.1</t>
  </si>
  <si>
    <t xml:space="preserve">GSB – Granular Sub-Base (150mm)</t>
  </si>
  <si>
    <t xml:space="preserve">2.2</t>
  </si>
  <si>
    <t xml:space="preserve">WMM – Wet Mix Macadam (250mm)</t>
  </si>
  <si>
    <t xml:space="preserve">3.1</t>
  </si>
  <si>
    <t xml:space="preserve">DBM – Dense Bituminous Macadam (50mm)</t>
  </si>
  <si>
    <t xml:space="preserve">3.2</t>
  </si>
  <si>
    <t xml:space="preserve">BC – Bituminous Concrete (40mm)</t>
  </si>
  <si>
    <t xml:space="preserve">4.1</t>
  </si>
  <si>
    <t xml:space="preserve">Catch Water Drain – Stone Masonry</t>
  </si>
  <si>
    <t xml:space="preserve">4.2</t>
  </si>
  <si>
    <t xml:space="preserve">Box Culvert – RCC M25</t>
  </si>
  <si>
    <t xml:space="preserve">4.3</t>
  </si>
  <si>
    <t xml:space="preserve">Pipe Culvert – NP3 900mm</t>
  </si>
  <si>
    <t xml:space="preserve">5.1</t>
  </si>
  <si>
    <t xml:space="preserve">Road Marking – Thermoplastic</t>
  </si>
  <si>
    <t xml:space="preserve">5.2</t>
  </si>
  <si>
    <t xml:space="preserve">Sign Boards – Retro-reflective</t>
  </si>
  <si>
    <t xml:space="preserve">5.3</t>
  </si>
  <si>
    <t xml:space="preserve">6.1</t>
  </si>
  <si>
    <t xml:space="preserve">Bridge – RCC M30 Substructure</t>
  </si>
  <si>
    <t xml:space="preserve">6.2</t>
  </si>
  <si>
    <t xml:space="preserve">Bridge – Superstructure (PSC Girder)</t>
  </si>
  <si>
    <t xml:space="preserve">7.1</t>
  </si>
  <si>
    <t xml:space="preserve">Miscellaneous &amp; Provisional</t>
  </si>
  <si>
    <t xml:space="preserve">LS</t>
  </si>
  <si>
    <t xml:space="preserve">GRAND TOTAL</t>
  </si>
  <si>
    <t xml:space="preserve">APPROVED DOCUMENTS REGISTER  –  Drawings, Specifications, Method Statements, ITP &amp; Project Plans</t>
  </si>
  <si>
    <t xml:space="preserve">Doc No.</t>
  </si>
  <si>
    <t xml:space="preserve">Document Title</t>
  </si>
  <si>
    <t xml:space="preserve">Category</t>
  </si>
  <si>
    <t xml:space="preserve">Rev.</t>
  </si>
  <si>
    <t xml:space="preserve">Date of
Approval</t>
  </si>
  <si>
    <t xml:space="preserve">Approved
By</t>
  </si>
  <si>
    <t xml:space="preserve">Applicable
Work Items</t>
  </si>
  <si>
    <t xml:space="preserve">Status</t>
  </si>
  <si>
    <t xml:space="preserve">Reference
Spec / Clause</t>
  </si>
  <si>
    <t xml:space="preserve">DRG/NH48/001</t>
  </si>
  <si>
    <t xml:space="preserve">General Arrangement – Road Cross Section</t>
  </si>
  <si>
    <t xml:space="preserve">Drawing</t>
  </si>
  <si>
    <t xml:space="preserve">R2</t>
  </si>
  <si>
    <t xml:space="preserve">15-Jan-25</t>
  </si>
  <si>
    <t xml:space="preserve">Client – NHAI</t>
  </si>
  <si>
    <t xml:space="preserve">All Road Works</t>
  </si>
  <si>
    <t xml:space="preserve">Approved</t>
  </si>
  <si>
    <t xml:space="preserve">MoRTH Sec 300</t>
  </si>
  <si>
    <t xml:space="preserve">4-lane divided carriageway</t>
  </si>
  <si>
    <t xml:space="preserve">DRG/NH48/002</t>
  </si>
  <si>
    <t xml:space="preserve">Pavement Design – Flexible Pavement</t>
  </si>
  <si>
    <t xml:space="preserve">R1</t>
  </si>
  <si>
    <t xml:space="preserve">DBM, BC, WMM, GSB</t>
  </si>
  <si>
    <t xml:space="preserve">IRC:37-2018</t>
  </si>
  <si>
    <t xml:space="preserve">Design CBR 8%</t>
  </si>
  <si>
    <t xml:space="preserve">DRG/NH48/003</t>
  </si>
  <si>
    <t xml:space="preserve">Culvert Layout – Box &amp; Pipe Culverts</t>
  </si>
  <si>
    <t xml:space="preserve">20-Jan-25</t>
  </si>
  <si>
    <t xml:space="preserve">Culvert Works</t>
  </si>
  <si>
    <t xml:space="preserve">IRC:SP:13</t>
  </si>
  <si>
    <t xml:space="preserve">Minor culverts CH 148</t>
  </si>
  <si>
    <t xml:space="preserve">DRG/NH48/004</t>
  </si>
  <si>
    <t xml:space="preserve">Drainage – Catch Water Drain Details</t>
  </si>
  <si>
    <t xml:space="preserve">R0</t>
  </si>
  <si>
    <t xml:space="preserve">CWD, Drain</t>
  </si>
  <si>
    <t xml:space="preserve">MoRTH Sec 309</t>
  </si>
  <si>
    <t xml:space="preserve">Stone masonry</t>
  </si>
  <si>
    <t xml:space="preserve">DRG/NH48/005</t>
  </si>
  <si>
    <t xml:space="preserve">Bridge GAD – CH 152+400</t>
  </si>
  <si>
    <t xml:space="preserve">01-Feb-25</t>
  </si>
  <si>
    <t xml:space="preserve">Bridge Works</t>
  </si>
  <si>
    <t xml:space="preserve">IRC:6, IRC:112</t>
  </si>
  <si>
    <t xml:space="preserve">PSC T-Girder</t>
  </si>
  <si>
    <t xml:space="preserve">DRG/NH48/006</t>
  </si>
  <si>
    <t xml:space="preserve">Typical Embankment Cross Section</t>
  </si>
  <si>
    <t xml:space="preserve">Earthwork</t>
  </si>
  <si>
    <t xml:space="preserve">MoRTH Sec 305</t>
  </si>
  <si>
    <t xml:space="preserve">Borrow area from km 148</t>
  </si>
  <si>
    <t xml:space="preserve">DRG/NH48/007</t>
  </si>
  <si>
    <t xml:space="preserve">Road Signage &amp; Marking Layout</t>
  </si>
  <si>
    <t xml:space="preserve">10-Feb-25</t>
  </si>
  <si>
    <t xml:space="preserve">Road Marking, Signs</t>
  </si>
  <si>
    <t xml:space="preserve">IRC:67-2012</t>
  </si>
  <si>
    <t xml:space="preserve">Thermoplastic paint</t>
  </si>
  <si>
    <t xml:space="preserve">SPEC/NH48/001</t>
  </si>
  <si>
    <t xml:space="preserve">Technical Specifications – Earthwork</t>
  </si>
  <si>
    <t xml:space="preserve">Specification</t>
  </si>
  <si>
    <t xml:space="preserve">10-Jan-25</t>
  </si>
  <si>
    <t xml:space="preserve">Excavation, Embankment</t>
  </si>
  <si>
    <t xml:space="preserve">MoRTH-5th Rev Sec 300-305</t>
  </si>
  <si>
    <t xml:space="preserve">Compaction 98% MDD</t>
  </si>
  <si>
    <t xml:space="preserve">SPEC/NH48/002</t>
  </si>
  <si>
    <t xml:space="preserve">Technical Specifications – Sub-base &amp; Base</t>
  </si>
  <si>
    <t xml:space="preserve">GSB, WMM</t>
  </si>
  <si>
    <t xml:space="preserve">MoRTH Sec 401-406</t>
  </si>
  <si>
    <t xml:space="preserve">Grading III for GSB</t>
  </si>
  <si>
    <t xml:space="preserve">SPEC/NH48/003</t>
  </si>
  <si>
    <t xml:space="preserve">Technical Specifications – Bituminous Layers</t>
  </si>
  <si>
    <t xml:space="preserve">12-Jan-25</t>
  </si>
  <si>
    <t xml:space="preserve">DBM, BC</t>
  </si>
  <si>
    <t xml:space="preserve">MoRTH Sec 507, 509</t>
  </si>
  <si>
    <t xml:space="preserve">VG-30 Bitumen</t>
  </si>
  <si>
    <t xml:space="preserve">SPEC/NH48/004</t>
  </si>
  <si>
    <t xml:space="preserve">Technical Specifications – Concrete Works</t>
  </si>
  <si>
    <t xml:space="preserve">RCC, PCC</t>
  </si>
  <si>
    <t xml:space="preserve">IS 456:2000 / IRC:112</t>
  </si>
  <si>
    <t xml:space="preserve">M25, M30 grades</t>
  </si>
  <si>
    <t xml:space="preserve">SPEC/NH48/005</t>
  </si>
  <si>
    <t xml:space="preserve">Technical Specifications – Drainage</t>
  </si>
  <si>
    <t xml:space="preserve">CWD, Culverts</t>
  </si>
  <si>
    <t xml:space="preserve">Stone masonry CM 1:4</t>
  </si>
  <si>
    <t xml:space="preserve">MS/NH48/001</t>
  </si>
  <si>
    <t xml:space="preserve">Method Statement – Earthwork Excavation &amp; Filling</t>
  </si>
  <si>
    <t xml:space="preserve">Method Statement</t>
  </si>
  <si>
    <t xml:space="preserve">20-Feb-25</t>
  </si>
  <si>
    <t xml:space="preserve">QA/QC Head</t>
  </si>
  <si>
    <t xml:space="preserve">MoRTH Sec 300-305</t>
  </si>
  <si>
    <t xml:space="preserve">Approved by IE</t>
  </si>
  <si>
    <t xml:space="preserve">MS/NH48/002</t>
  </si>
  <si>
    <t xml:space="preserve">Method Statement – GSB &amp; WMM Construction</t>
  </si>
  <si>
    <t xml:space="preserve">MoRTH Sec 401</t>
  </si>
  <si>
    <t xml:space="preserve">Paver laying method</t>
  </si>
  <si>
    <t xml:space="preserve">MS/NH48/003</t>
  </si>
  <si>
    <t xml:space="preserve">Method Statement – Bituminous Paving (DBM/BC)</t>
  </si>
  <si>
    <t xml:space="preserve">25-Feb-25</t>
  </si>
  <si>
    <t xml:space="preserve">MoRTH Sec 507-509</t>
  </si>
  <si>
    <t xml:space="preserve">HMP temp control</t>
  </si>
  <si>
    <t xml:space="preserve">MS/NH48/004</t>
  </si>
  <si>
    <t xml:space="preserve">Method Statement – Concrete Works (Culvert)</t>
  </si>
  <si>
    <t xml:space="preserve">01-Mar-25</t>
  </si>
  <si>
    <t xml:space="preserve">Culverts, RCC</t>
  </si>
  <si>
    <t xml:space="preserve">IS 456:2000</t>
  </si>
  <si>
    <t xml:space="preserve">Curing regime 28 days</t>
  </si>
  <si>
    <t xml:space="preserve">MS/NH48/005</t>
  </si>
  <si>
    <t xml:space="preserve">Method Statement – Blasting (Hard Rock)</t>
  </si>
  <si>
    <t xml:space="preserve">10-Mar-25</t>
  </si>
  <si>
    <t xml:space="preserve">QA/QC Head + Safety Mgr</t>
  </si>
  <si>
    <t xml:space="preserve">Excavation (Rock)</t>
  </si>
  <si>
    <t xml:space="preserve">Explosives Act 1884</t>
  </si>
  <si>
    <t xml:space="preserve">DGMS compliant</t>
  </si>
  <si>
    <t xml:space="preserve">ITP/NH48/001</t>
  </si>
  <si>
    <t xml:space="preserve">Inspection &amp; Test Plan – Earthwork</t>
  </si>
  <si>
    <t xml:space="preserve">ITP</t>
  </si>
  <si>
    <t xml:space="preserve">05-Mar-25</t>
  </si>
  <si>
    <t xml:space="preserve">IE + Client</t>
  </si>
  <si>
    <t xml:space="preserve">MoRTH + IS 2720</t>
  </si>
  <si>
    <t xml:space="preserve">Field density test per 1000 sqm</t>
  </si>
  <si>
    <t xml:space="preserve">ITP/NH48/002</t>
  </si>
  <si>
    <t xml:space="preserve">Inspection &amp; Test Plan – GSB &amp; WMM</t>
  </si>
  <si>
    <t xml:space="preserve">MORTH Sec 401-406</t>
  </si>
  <si>
    <t xml:space="preserve">Grading &amp; compaction tests</t>
  </si>
  <si>
    <t xml:space="preserve">ITP/NH48/003</t>
  </si>
  <si>
    <t xml:space="preserve">Inspection &amp; Test Plan – Bituminous Works</t>
  </si>
  <si>
    <t xml:space="preserve">07-Mar-25</t>
  </si>
  <si>
    <t xml:space="preserve">Core cutting per 500m</t>
  </si>
  <si>
    <t xml:space="preserve">ITP/NH48/004</t>
  </si>
  <si>
    <t xml:space="preserve">Inspection &amp; Test Plan – Concrete Works</t>
  </si>
  <si>
    <t xml:space="preserve">Culvert, RCC</t>
  </si>
  <si>
    <t xml:space="preserve">IS 456 + IRC:112</t>
  </si>
  <si>
    <t xml:space="preserve">Slump, cube test per 30 Cum</t>
  </si>
  <si>
    <t xml:space="preserve">ITP/NH48/005</t>
  </si>
  <si>
    <t xml:space="preserve">Inspection &amp; Test Plan – Bridge Works</t>
  </si>
  <si>
    <t xml:space="preserve">15-Mar-25</t>
  </si>
  <si>
    <t xml:space="preserve">Bridge Sub/Super Structure</t>
  </si>
  <si>
    <t xml:space="preserve">NDT, load testing</t>
  </si>
  <si>
    <t xml:space="preserve">PLAN/NH48/001</t>
  </si>
  <si>
    <t xml:space="preserve">Master Construction Programme (Level 3)</t>
  </si>
  <si>
    <t xml:space="preserve">Project Plan</t>
  </si>
  <si>
    <t xml:space="preserve">01-Jan-25</t>
  </si>
  <si>
    <t xml:space="preserve">PM + Client</t>
  </si>
  <si>
    <t xml:space="preserve">All Works</t>
  </si>
  <si>
    <t xml:space="preserve">Contract Clause 8.3</t>
  </si>
  <si>
    <t xml:space="preserve">Primavera P6 baseline</t>
  </si>
  <si>
    <t xml:space="preserve">PLAN/NH48/002</t>
  </si>
  <si>
    <t xml:space="preserve">Monthly Work Programme – April 2025</t>
  </si>
  <si>
    <t xml:space="preserve">01-Apr-25</t>
  </si>
  <si>
    <t xml:space="preserve">Site PM</t>
  </si>
  <si>
    <t xml:space="preserve">Earthwork, GSB, DBM, BC</t>
  </si>
  <si>
    <t xml:space="preserve">Internal</t>
  </si>
  <si>
    <t xml:space="preserve">Monthly target 8 km</t>
  </si>
  <si>
    <t xml:space="preserve">PLAN/NH48/003</t>
  </si>
  <si>
    <t xml:space="preserve">Resource Mobilisation Plan</t>
  </si>
  <si>
    <t xml:space="preserve">PM</t>
  </si>
  <si>
    <t xml:space="preserve">All Resources</t>
  </si>
  <si>
    <t xml:space="preserve">Contract Schedule</t>
  </si>
  <si>
    <t xml:space="preserve">Equipment &amp; manpower</t>
  </si>
  <si>
    <t xml:space="preserve">PLAN/NH48/004</t>
  </si>
  <si>
    <t xml:space="preserve">QA/QC Plan (Project Quality Plan)</t>
  </si>
  <si>
    <t xml:space="preserve">QA/QC Manager + IE</t>
  </si>
  <si>
    <t xml:space="preserve">ISO 9001:2015</t>
  </si>
  <si>
    <t xml:space="preserve">Annual internal audit</t>
  </si>
  <si>
    <t xml:space="preserve">PLAN/NH48/005</t>
  </si>
  <si>
    <t xml:space="preserve">Health Safety &amp; Environment Plan</t>
  </si>
  <si>
    <t xml:space="preserve">Safety Manager + IE</t>
  </si>
  <si>
    <t xml:space="preserve">OHSAS 45001</t>
  </si>
  <si>
    <t xml:space="preserve">Monthly safety meeting</t>
  </si>
  <si>
    <t xml:space="preserve">PLAN/NH48/006</t>
  </si>
  <si>
    <t xml:space="preserve">Traffic Management Plan</t>
  </si>
  <si>
    <t xml:space="preserve">Site PM + Traffic Consultant</t>
  </si>
  <si>
    <t xml:space="preserve">IRC:SP:55</t>
  </si>
  <si>
    <t xml:space="preserve">Signed IRC scheme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</si>
</sst>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7"/>
        <bgColor rgb="FFF2F2F2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18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10" min="8" style="0" width="14"/>
  </cols>
  <sheetData>
    <row r="1" customFormat="false" ht="12" hidden="false" customHeight="true" outlineLevel="0" collapsed="false"/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A5" s="3" t="s">
        <v>2</v>
      </c>
      <c r="B5" s="3"/>
      <c r="C5" s="3" t="s">
        <v>3</v>
      </c>
      <c r="D5" s="3"/>
      <c r="E5" s="3"/>
      <c r="F5" s="3"/>
      <c r="G5" s="3"/>
      <c r="H5" s="3"/>
      <c r="I5" s="3"/>
      <c r="J5" s="3"/>
    </row>
    <row r="6" customFormat="false" ht="18" hidden="false" customHeight="true" outlineLevel="0" collapsed="false">
      <c r="A6" s="4" t="s">
        <v>4</v>
      </c>
      <c r="B6" s="4"/>
      <c r="C6" s="5" t="s">
        <v>5</v>
      </c>
      <c r="D6" s="5"/>
      <c r="E6" s="5"/>
      <c r="F6" s="5"/>
      <c r="G6" s="5"/>
      <c r="H6" s="5"/>
      <c r="I6" s="5"/>
      <c r="J6" s="5"/>
    </row>
    <row r="7" customFormat="false" ht="18" hidden="false" customHeight="true" outlineLevel="0" collapsed="false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7"/>
      <c r="J7" s="7"/>
    </row>
    <row r="8" customFormat="false" ht="18" hidden="false" customHeight="true" outlineLevel="0" collapsed="false">
      <c r="A8" s="4" t="s">
        <v>8</v>
      </c>
      <c r="B8" s="4"/>
      <c r="C8" s="5" t="s">
        <v>9</v>
      </c>
      <c r="D8" s="5"/>
      <c r="E8" s="5"/>
      <c r="F8" s="5"/>
      <c r="G8" s="5"/>
      <c r="H8" s="5"/>
      <c r="I8" s="5"/>
      <c r="J8" s="5"/>
    </row>
    <row r="9" customFormat="false" ht="18" hidden="false" customHeight="true" outlineLevel="0" collapsed="false">
      <c r="A9" s="6" t="s">
        <v>10</v>
      </c>
      <c r="B9" s="6"/>
      <c r="C9" s="7" t="s">
        <v>11</v>
      </c>
      <c r="D9" s="7"/>
      <c r="E9" s="7"/>
      <c r="F9" s="7"/>
      <c r="G9" s="7"/>
      <c r="H9" s="7"/>
      <c r="I9" s="7"/>
      <c r="J9" s="7"/>
    </row>
    <row r="10" customFormat="false" ht="18" hidden="false" customHeight="true" outlineLevel="0" collapsed="false">
      <c r="A10" s="4" t="s">
        <v>12</v>
      </c>
      <c r="B10" s="4"/>
      <c r="C10" s="5" t="s">
        <v>13</v>
      </c>
      <c r="D10" s="5"/>
      <c r="E10" s="5"/>
      <c r="F10" s="5"/>
      <c r="G10" s="5"/>
      <c r="H10" s="5"/>
      <c r="I10" s="5"/>
      <c r="J10" s="5"/>
    </row>
    <row r="11" customFormat="false" ht="18" hidden="false" customHeight="true" outlineLevel="0" collapsed="false">
      <c r="A11" s="6" t="s">
        <v>14</v>
      </c>
      <c r="B11" s="6"/>
      <c r="C11" s="7" t="s">
        <v>15</v>
      </c>
      <c r="D11" s="7"/>
      <c r="E11" s="7"/>
      <c r="F11" s="7"/>
      <c r="G11" s="7"/>
      <c r="H11" s="7"/>
      <c r="I11" s="7"/>
      <c r="J11" s="7"/>
    </row>
    <row r="12" customFormat="false" ht="18" hidden="false" customHeight="true" outlineLevel="0" collapsed="false">
      <c r="A12" s="4" t="s">
        <v>16</v>
      </c>
      <c r="B12" s="4"/>
      <c r="C12" s="5" t="s">
        <v>17</v>
      </c>
      <c r="D12" s="5"/>
      <c r="E12" s="5"/>
      <c r="F12" s="5"/>
      <c r="G12" s="5"/>
      <c r="H12" s="5"/>
      <c r="I12" s="5"/>
      <c r="J12" s="5"/>
    </row>
    <row r="13" customFormat="false" ht="18" hidden="false" customHeight="true" outlineLevel="0" collapsed="false">
      <c r="A13" s="6" t="s">
        <v>18</v>
      </c>
      <c r="B13" s="6"/>
      <c r="C13" s="7" t="s">
        <v>19</v>
      </c>
      <c r="D13" s="7"/>
      <c r="E13" s="7"/>
      <c r="F13" s="7"/>
      <c r="G13" s="7"/>
      <c r="H13" s="7"/>
      <c r="I13" s="7"/>
      <c r="J13" s="7"/>
    </row>
    <row r="14" customFormat="false" ht="18" hidden="false" customHeight="true" outlineLevel="0" collapsed="false">
      <c r="A14" s="4" t="s">
        <v>20</v>
      </c>
      <c r="B14" s="4"/>
      <c r="C14" s="5" t="s">
        <v>21</v>
      </c>
      <c r="D14" s="5"/>
      <c r="E14" s="5"/>
      <c r="F14" s="5"/>
      <c r="G14" s="5"/>
      <c r="H14" s="5"/>
      <c r="I14" s="5"/>
      <c r="J14" s="5"/>
    </row>
    <row r="15" customFormat="false" ht="18" hidden="false" customHeight="true" outlineLevel="0" collapsed="false">
      <c r="A15" s="6" t="s">
        <v>22</v>
      </c>
      <c r="B15" s="6"/>
      <c r="C15" s="7" t="s">
        <v>23</v>
      </c>
      <c r="D15" s="7"/>
      <c r="E15" s="7"/>
      <c r="F15" s="7"/>
      <c r="G15" s="7"/>
      <c r="H15" s="7"/>
      <c r="I15" s="7"/>
      <c r="J15" s="7"/>
    </row>
    <row r="16" customFormat="false" ht="18" hidden="false" customHeight="true" outlineLevel="0" collapsed="false">
      <c r="A16" s="4" t="s">
        <v>24</v>
      </c>
      <c r="B16" s="4"/>
      <c r="C16" s="5" t="s">
        <v>25</v>
      </c>
      <c r="D16" s="5"/>
      <c r="E16" s="5"/>
      <c r="F16" s="5"/>
      <c r="G16" s="5"/>
      <c r="H16" s="5"/>
      <c r="I16" s="5"/>
      <c r="J16" s="5"/>
    </row>
    <row r="18" customFormat="false" ht="15" hidden="false" customHeight="false" outlineLevel="0" collapsed="false">
      <c r="A18" s="8" t="s">
        <v>26</v>
      </c>
      <c r="B18" s="8"/>
      <c r="C18" s="8"/>
      <c r="D18" s="8"/>
      <c r="E18" s="8"/>
      <c r="F18" s="8"/>
      <c r="G18" s="8"/>
      <c r="H18" s="8"/>
      <c r="I18" s="8"/>
      <c r="J18" s="8"/>
    </row>
    <row r="19" customFormat="false" ht="32.8" hidden="false" customHeight="false" outlineLevel="0" collapsed="false">
      <c r="A19" s="9" t="s">
        <v>27</v>
      </c>
      <c r="B19" s="9" t="s">
        <v>28</v>
      </c>
      <c r="C19" s="10"/>
      <c r="D19" s="10"/>
      <c r="E19" s="9" t="s">
        <v>29</v>
      </c>
      <c r="F19" s="10"/>
      <c r="G19" s="10"/>
      <c r="H19" s="10"/>
      <c r="I19" s="10"/>
      <c r="J19" s="10"/>
    </row>
    <row r="20" customFormat="false" ht="15" hidden="false" customHeight="true" outlineLevel="0" collapsed="false">
      <c r="A20" s="11" t="s">
        <v>30</v>
      </c>
      <c r="B20" s="4" t="s">
        <v>31</v>
      </c>
      <c r="C20" s="4"/>
      <c r="D20" s="4"/>
      <c r="E20" s="5" t="s">
        <v>32</v>
      </c>
      <c r="F20" s="5"/>
      <c r="G20" s="5"/>
      <c r="H20" s="5"/>
      <c r="I20" s="5"/>
      <c r="J20" s="5"/>
    </row>
    <row r="21" customFormat="false" ht="15" hidden="false" customHeight="true" outlineLevel="0" collapsed="false">
      <c r="A21" s="12" t="s">
        <v>33</v>
      </c>
      <c r="B21" s="6" t="s">
        <v>34</v>
      </c>
      <c r="C21" s="6"/>
      <c r="D21" s="6"/>
      <c r="E21" s="7" t="s">
        <v>35</v>
      </c>
      <c r="F21" s="7"/>
      <c r="G21" s="7"/>
      <c r="H21" s="7"/>
      <c r="I21" s="7"/>
      <c r="J21" s="7"/>
    </row>
    <row r="22" customFormat="false" ht="15" hidden="false" customHeight="true" outlineLevel="0" collapsed="false">
      <c r="A22" s="11" t="s">
        <v>36</v>
      </c>
      <c r="B22" s="4" t="s">
        <v>37</v>
      </c>
      <c r="C22" s="4"/>
      <c r="D22" s="4"/>
      <c r="E22" s="5" t="s">
        <v>38</v>
      </c>
      <c r="F22" s="5"/>
      <c r="G22" s="5"/>
      <c r="H22" s="5"/>
      <c r="I22" s="5"/>
      <c r="J22" s="5"/>
    </row>
    <row r="23" customFormat="false" ht="15" hidden="false" customHeight="true" outlineLevel="0" collapsed="false">
      <c r="A23" s="12" t="s">
        <v>39</v>
      </c>
      <c r="B23" s="6" t="s">
        <v>40</v>
      </c>
      <c r="C23" s="6"/>
      <c r="D23" s="6"/>
      <c r="E23" s="7" t="s">
        <v>41</v>
      </c>
      <c r="F23" s="7"/>
      <c r="G23" s="7"/>
      <c r="H23" s="7"/>
      <c r="I23" s="7"/>
      <c r="J23" s="7"/>
    </row>
    <row r="24" customFormat="false" ht="15" hidden="false" customHeight="true" outlineLevel="0" collapsed="false">
      <c r="A24" s="11" t="s">
        <v>42</v>
      </c>
      <c r="B24" s="4" t="s">
        <v>43</v>
      </c>
      <c r="C24" s="4"/>
      <c r="D24" s="4"/>
      <c r="E24" s="5" t="s">
        <v>44</v>
      </c>
      <c r="F24" s="5"/>
      <c r="G24" s="5"/>
      <c r="H24" s="5"/>
      <c r="I24" s="5"/>
      <c r="J24" s="5"/>
    </row>
    <row r="25" customFormat="false" ht="15" hidden="false" customHeight="true" outlineLevel="0" collapsed="false">
      <c r="A25" s="13" t="s">
        <v>45</v>
      </c>
      <c r="B25" s="14" t="s">
        <v>46</v>
      </c>
      <c r="C25" s="14"/>
      <c r="D25" s="14"/>
      <c r="E25" s="15" t="s">
        <v>47</v>
      </c>
      <c r="F25" s="15"/>
      <c r="G25" s="15"/>
      <c r="H25" s="15"/>
      <c r="I25" s="15"/>
      <c r="J25" s="15"/>
    </row>
  </sheetData>
  <mergeCells count="39">
    <mergeCell ref="A2:J2"/>
    <mergeCell ref="A3:J3"/>
    <mergeCell ref="A5:B5"/>
    <mergeCell ref="C5:J5"/>
    <mergeCell ref="A6:B6"/>
    <mergeCell ref="C6:J6"/>
    <mergeCell ref="A7:B7"/>
    <mergeCell ref="C7:J7"/>
    <mergeCell ref="A8:B8"/>
    <mergeCell ref="C8:J8"/>
    <mergeCell ref="A9:B9"/>
    <mergeCell ref="C9:J9"/>
    <mergeCell ref="A10:B10"/>
    <mergeCell ref="C10:J10"/>
    <mergeCell ref="A11:B11"/>
    <mergeCell ref="C11:J11"/>
    <mergeCell ref="A12:B12"/>
    <mergeCell ref="C12:J12"/>
    <mergeCell ref="A13:B13"/>
    <mergeCell ref="C13:J13"/>
    <mergeCell ref="A14:B14"/>
    <mergeCell ref="C14:J14"/>
    <mergeCell ref="A15:B15"/>
    <mergeCell ref="C15:J15"/>
    <mergeCell ref="A16:B16"/>
    <mergeCell ref="C16:J16"/>
    <mergeCell ref="A18:J18"/>
    <mergeCell ref="B20:D20"/>
    <mergeCell ref="E20:J20"/>
    <mergeCell ref="B21:D21"/>
    <mergeCell ref="E21:J21"/>
    <mergeCell ref="B22:D22"/>
    <mergeCell ref="E22:J22"/>
    <mergeCell ref="B23:D23"/>
    <mergeCell ref="E23:J23"/>
    <mergeCell ref="B24:D24"/>
    <mergeCell ref="E24:J24"/>
    <mergeCell ref="B25:D25"/>
    <mergeCell ref="E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2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24"/>
  </cols>
  <sheetData>
    <row r="1" customFormat="false" ht="30" hidden="false" customHeight="true" outlineLevel="0" collapsed="false">
      <c r="A1" s="16" t="s">
        <v>48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customFormat="false" ht="15" hidden="false" customHeight="false" outlineLevel="0" collapsed="false">
      <c r="A2" s="17" t="s">
        <v>49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4" customFormat="false" ht="15" hidden="false" customHeight="false" outlineLevel="0" collapsed="false">
      <c r="A4" s="18" t="s">
        <v>50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customFormat="false" ht="35.05" hidden="false" customHeight="false" outlineLevel="0" collapsed="false">
      <c r="A5" s="19" t="s">
        <v>51</v>
      </c>
      <c r="B5" s="19" t="s">
        <v>52</v>
      </c>
      <c r="C5" s="19" t="s">
        <v>53</v>
      </c>
      <c r="D5" s="19" t="s">
        <v>54</v>
      </c>
      <c r="E5" s="19" t="s">
        <v>55</v>
      </c>
      <c r="F5" s="19" t="s">
        <v>56</v>
      </c>
      <c r="G5" s="19" t="s">
        <v>57</v>
      </c>
      <c r="H5" s="19" t="s">
        <v>58</v>
      </c>
      <c r="I5" s="19" t="s">
        <v>59</v>
      </c>
    </row>
    <row r="6" customFormat="false" ht="15" hidden="false" customHeight="false" outlineLevel="0" collapsed="false">
      <c r="A6" s="11" t="s">
        <v>60</v>
      </c>
      <c r="B6" s="5" t="s">
        <v>61</v>
      </c>
      <c r="C6" s="11" t="s">
        <v>62</v>
      </c>
      <c r="D6" s="5" t="s">
        <v>63</v>
      </c>
      <c r="E6" s="11" t="s">
        <v>64</v>
      </c>
      <c r="F6" s="20" t="n">
        <v>850</v>
      </c>
      <c r="G6" s="11" t="s">
        <v>64</v>
      </c>
      <c r="H6" s="20" t="n">
        <v>850</v>
      </c>
      <c r="I6" s="5" t="s">
        <v>65</v>
      </c>
    </row>
    <row r="7" customFormat="false" ht="15" hidden="false" customHeight="false" outlineLevel="0" collapsed="false">
      <c r="A7" s="12" t="s">
        <v>60</v>
      </c>
      <c r="B7" s="7" t="s">
        <v>61</v>
      </c>
      <c r="C7" s="12" t="s">
        <v>62</v>
      </c>
      <c r="D7" s="7" t="s">
        <v>66</v>
      </c>
      <c r="E7" s="12" t="s">
        <v>64</v>
      </c>
      <c r="F7" s="21" t="n">
        <v>620</v>
      </c>
      <c r="G7" s="12" t="s">
        <v>64</v>
      </c>
      <c r="H7" s="21" t="n">
        <v>620</v>
      </c>
      <c r="I7" s="7" t="s">
        <v>67</v>
      </c>
    </row>
    <row r="8" customFormat="false" ht="15" hidden="false" customHeight="false" outlineLevel="0" collapsed="false">
      <c r="A8" s="11" t="s">
        <v>68</v>
      </c>
      <c r="B8" s="5" t="s">
        <v>61</v>
      </c>
      <c r="C8" s="11" t="s">
        <v>69</v>
      </c>
      <c r="D8" s="5" t="s">
        <v>63</v>
      </c>
      <c r="E8" s="11" t="s">
        <v>64</v>
      </c>
      <c r="F8" s="20" t="n">
        <v>900</v>
      </c>
      <c r="G8" s="11" t="s">
        <v>64</v>
      </c>
      <c r="H8" s="20" t="n">
        <v>1750</v>
      </c>
      <c r="I8" s="5" t="s">
        <v>70</v>
      </c>
    </row>
    <row r="9" customFormat="false" ht="15" hidden="false" customHeight="false" outlineLevel="0" collapsed="false">
      <c r="A9" s="12" t="s">
        <v>68</v>
      </c>
      <c r="B9" s="7" t="s">
        <v>61</v>
      </c>
      <c r="C9" s="12" t="s">
        <v>69</v>
      </c>
      <c r="D9" s="7" t="s">
        <v>66</v>
      </c>
      <c r="E9" s="12" t="s">
        <v>64</v>
      </c>
      <c r="F9" s="21" t="n">
        <v>680</v>
      </c>
      <c r="G9" s="12" t="s">
        <v>64</v>
      </c>
      <c r="H9" s="21" t="n">
        <v>1300</v>
      </c>
      <c r="I9" s="7" t="s">
        <v>71</v>
      </c>
    </row>
    <row r="10" customFormat="false" ht="15" hidden="false" customHeight="false" outlineLevel="0" collapsed="false">
      <c r="A10" s="11" t="s">
        <v>72</v>
      </c>
      <c r="B10" s="5" t="s">
        <v>73</v>
      </c>
      <c r="C10" s="11" t="s">
        <v>74</v>
      </c>
      <c r="D10" s="5" t="s">
        <v>75</v>
      </c>
      <c r="E10" s="11" t="s">
        <v>64</v>
      </c>
      <c r="F10" s="20" t="n">
        <v>480</v>
      </c>
      <c r="G10" s="11" t="s">
        <v>64</v>
      </c>
      <c r="H10" s="20" t="n">
        <v>480</v>
      </c>
      <c r="I10" s="5" t="s">
        <v>76</v>
      </c>
    </row>
    <row r="11" customFormat="false" ht="15" hidden="false" customHeight="false" outlineLevel="0" collapsed="false">
      <c r="A11" s="12" t="s">
        <v>72</v>
      </c>
      <c r="B11" s="7" t="s">
        <v>73</v>
      </c>
      <c r="C11" s="12" t="s">
        <v>74</v>
      </c>
      <c r="D11" s="7" t="s">
        <v>77</v>
      </c>
      <c r="E11" s="12" t="s">
        <v>64</v>
      </c>
      <c r="F11" s="21" t="n">
        <v>320</v>
      </c>
      <c r="G11" s="12" t="s">
        <v>64</v>
      </c>
      <c r="H11" s="21" t="n">
        <v>320</v>
      </c>
      <c r="I11" s="7" t="s">
        <v>78</v>
      </c>
    </row>
    <row r="12" customFormat="false" ht="15" hidden="false" customHeight="false" outlineLevel="0" collapsed="false">
      <c r="A12" s="11" t="s">
        <v>79</v>
      </c>
      <c r="B12" s="5" t="s">
        <v>73</v>
      </c>
      <c r="C12" s="11" t="s">
        <v>80</v>
      </c>
      <c r="D12" s="5" t="s">
        <v>75</v>
      </c>
      <c r="E12" s="11" t="s">
        <v>64</v>
      </c>
      <c r="F12" s="20" t="n">
        <v>390</v>
      </c>
      <c r="G12" s="11" t="s">
        <v>64</v>
      </c>
      <c r="H12" s="20" t="n">
        <v>870</v>
      </c>
      <c r="I12" s="5" t="s">
        <v>81</v>
      </c>
    </row>
    <row r="13" customFormat="false" ht="15" hidden="false" customHeight="false" outlineLevel="0" collapsed="false">
      <c r="A13" s="12" t="s">
        <v>79</v>
      </c>
      <c r="B13" s="7" t="s">
        <v>73</v>
      </c>
      <c r="C13" s="12" t="s">
        <v>80</v>
      </c>
      <c r="D13" s="7" t="s">
        <v>77</v>
      </c>
      <c r="E13" s="12" t="s">
        <v>64</v>
      </c>
      <c r="F13" s="21" t="n">
        <v>270</v>
      </c>
      <c r="G13" s="12" t="s">
        <v>64</v>
      </c>
      <c r="H13" s="21" t="n">
        <v>590</v>
      </c>
      <c r="I13" s="7" t="s">
        <v>82</v>
      </c>
    </row>
    <row r="14" customFormat="false" ht="15" hidden="false" customHeight="false" outlineLevel="0" collapsed="false">
      <c r="A14" s="11" t="s">
        <v>83</v>
      </c>
      <c r="B14" s="5" t="s">
        <v>61</v>
      </c>
      <c r="C14" s="11" t="s">
        <v>84</v>
      </c>
      <c r="D14" s="5" t="s">
        <v>85</v>
      </c>
      <c r="E14" s="11" t="s">
        <v>86</v>
      </c>
      <c r="F14" s="20" t="n">
        <v>320</v>
      </c>
      <c r="G14" s="11" t="s">
        <v>86</v>
      </c>
      <c r="H14" s="20" t="n">
        <v>320</v>
      </c>
      <c r="I14" s="5" t="s">
        <v>87</v>
      </c>
    </row>
    <row r="15" customFormat="false" ht="15" hidden="false" customHeight="false" outlineLevel="0" collapsed="false">
      <c r="A15" s="12" t="s">
        <v>83</v>
      </c>
      <c r="B15" s="7" t="s">
        <v>61</v>
      </c>
      <c r="C15" s="12" t="s">
        <v>84</v>
      </c>
      <c r="D15" s="7" t="s">
        <v>88</v>
      </c>
      <c r="E15" s="12" t="s">
        <v>86</v>
      </c>
      <c r="F15" s="21" t="n">
        <v>180</v>
      </c>
      <c r="G15" s="12" t="s">
        <v>86</v>
      </c>
      <c r="H15" s="21" t="n">
        <v>180</v>
      </c>
      <c r="I15" s="7" t="s">
        <v>89</v>
      </c>
    </row>
    <row r="16" customFormat="false" ht="15" hidden="false" customHeight="false" outlineLevel="0" collapsed="false">
      <c r="A16" s="11" t="s">
        <v>90</v>
      </c>
      <c r="B16" s="5" t="s">
        <v>61</v>
      </c>
      <c r="C16" s="11" t="s">
        <v>91</v>
      </c>
      <c r="D16" s="5" t="s">
        <v>85</v>
      </c>
      <c r="E16" s="11" t="s">
        <v>86</v>
      </c>
      <c r="F16" s="20" t="n">
        <v>290</v>
      </c>
      <c r="G16" s="11" t="s">
        <v>86</v>
      </c>
      <c r="H16" s="20" t="n">
        <v>610</v>
      </c>
      <c r="I16" s="5" t="s">
        <v>92</v>
      </c>
    </row>
    <row r="17" customFormat="false" ht="15" hidden="false" customHeight="false" outlineLevel="0" collapsed="false">
      <c r="A17" s="12" t="s">
        <v>90</v>
      </c>
      <c r="B17" s="7" t="s">
        <v>61</v>
      </c>
      <c r="C17" s="12" t="s">
        <v>91</v>
      </c>
      <c r="D17" s="7" t="s">
        <v>88</v>
      </c>
      <c r="E17" s="12" t="s">
        <v>86</v>
      </c>
      <c r="F17" s="21" t="n">
        <v>160</v>
      </c>
      <c r="G17" s="12" t="s">
        <v>86</v>
      </c>
      <c r="H17" s="21" t="n">
        <v>340</v>
      </c>
      <c r="I17" s="7" t="s">
        <v>93</v>
      </c>
    </row>
    <row r="18" customFormat="false" ht="15" hidden="false" customHeight="false" outlineLevel="0" collapsed="false">
      <c r="A18" s="11" t="s">
        <v>94</v>
      </c>
      <c r="B18" s="5" t="s">
        <v>95</v>
      </c>
      <c r="C18" s="11" t="s">
        <v>96</v>
      </c>
      <c r="D18" s="5" t="s">
        <v>97</v>
      </c>
      <c r="E18" s="11" t="s">
        <v>98</v>
      </c>
      <c r="F18" s="20" t="n">
        <v>150</v>
      </c>
      <c r="G18" s="11" t="s">
        <v>98</v>
      </c>
      <c r="H18" s="20" t="n">
        <v>150</v>
      </c>
      <c r="I18" s="5" t="s">
        <v>99</v>
      </c>
    </row>
    <row r="19" customFormat="false" ht="15" hidden="false" customHeight="false" outlineLevel="0" collapsed="false">
      <c r="A19" s="12" t="s">
        <v>94</v>
      </c>
      <c r="B19" s="7" t="s">
        <v>95</v>
      </c>
      <c r="C19" s="12" t="s">
        <v>96</v>
      </c>
      <c r="D19" s="7" t="s">
        <v>100</v>
      </c>
      <c r="E19" s="12" t="s">
        <v>101</v>
      </c>
      <c r="F19" s="21" t="n">
        <v>2</v>
      </c>
      <c r="G19" s="12" t="s">
        <v>101</v>
      </c>
      <c r="H19" s="21" t="n">
        <v>2</v>
      </c>
      <c r="I19" s="7" t="s">
        <v>102</v>
      </c>
    </row>
    <row r="20" customFormat="false" ht="15" hidden="false" customHeight="false" outlineLevel="0" collapsed="false">
      <c r="A20" s="11" t="s">
        <v>103</v>
      </c>
      <c r="B20" s="5" t="s">
        <v>95</v>
      </c>
      <c r="C20" s="11" t="s">
        <v>104</v>
      </c>
      <c r="D20" s="5" t="s">
        <v>97</v>
      </c>
      <c r="E20" s="11" t="s">
        <v>98</v>
      </c>
      <c r="F20" s="20" t="n">
        <v>180</v>
      </c>
      <c r="G20" s="11" t="s">
        <v>98</v>
      </c>
      <c r="H20" s="20" t="n">
        <v>330</v>
      </c>
      <c r="I20" s="5" t="s">
        <v>105</v>
      </c>
    </row>
    <row r="21" customFormat="false" ht="15" hidden="false" customHeight="false" outlineLevel="0" collapsed="false">
      <c r="A21" s="12" t="s">
        <v>103</v>
      </c>
      <c r="B21" s="7" t="s">
        <v>95</v>
      </c>
      <c r="C21" s="12" t="s">
        <v>104</v>
      </c>
      <c r="D21" s="7" t="s">
        <v>63</v>
      </c>
      <c r="E21" s="12" t="s">
        <v>64</v>
      </c>
      <c r="F21" s="21" t="n">
        <v>750</v>
      </c>
      <c r="G21" s="12" t="s">
        <v>64</v>
      </c>
      <c r="H21" s="21" t="n">
        <v>2500</v>
      </c>
      <c r="I21" s="7" t="s">
        <v>106</v>
      </c>
    </row>
    <row r="22" customFormat="false" ht="15" hidden="false" customHeight="false" outlineLevel="0" collapsed="false">
      <c r="A22" s="11" t="s">
        <v>107</v>
      </c>
      <c r="B22" s="5" t="s">
        <v>73</v>
      </c>
      <c r="C22" s="11" t="s">
        <v>108</v>
      </c>
      <c r="D22" s="5" t="s">
        <v>75</v>
      </c>
      <c r="E22" s="11" t="s">
        <v>64</v>
      </c>
      <c r="F22" s="20" t="n">
        <v>510</v>
      </c>
      <c r="G22" s="11" t="s">
        <v>64</v>
      </c>
      <c r="H22" s="20" t="n">
        <v>1380</v>
      </c>
      <c r="I22" s="5" t="s">
        <v>109</v>
      </c>
    </row>
    <row r="23" customFormat="false" ht="15" hidden="false" customHeight="false" outlineLevel="0" collapsed="false">
      <c r="A23" s="12" t="s">
        <v>110</v>
      </c>
      <c r="B23" s="7" t="s">
        <v>73</v>
      </c>
      <c r="C23" s="12" t="s">
        <v>111</v>
      </c>
      <c r="D23" s="7" t="s">
        <v>77</v>
      </c>
      <c r="E23" s="12" t="s">
        <v>64</v>
      </c>
      <c r="F23" s="21" t="n">
        <v>410</v>
      </c>
      <c r="G23" s="12" t="s">
        <v>64</v>
      </c>
      <c r="H23" s="21" t="n">
        <v>1000</v>
      </c>
      <c r="I23" s="7" t="s">
        <v>112</v>
      </c>
    </row>
    <row r="24" customFormat="false" ht="15" hidden="false" customHeight="false" outlineLevel="0" collapsed="false">
      <c r="A24" s="11" t="s">
        <v>113</v>
      </c>
      <c r="B24" s="5" t="s">
        <v>61</v>
      </c>
      <c r="C24" s="11" t="s">
        <v>114</v>
      </c>
      <c r="D24" s="5" t="s">
        <v>85</v>
      </c>
      <c r="E24" s="11" t="s">
        <v>86</v>
      </c>
      <c r="F24" s="20" t="n">
        <v>350</v>
      </c>
      <c r="G24" s="11" t="s">
        <v>86</v>
      </c>
      <c r="H24" s="20" t="n">
        <v>960</v>
      </c>
      <c r="I24" s="5" t="s">
        <v>115</v>
      </c>
    </row>
    <row r="25" customFormat="false" ht="15" hidden="false" customHeight="false" outlineLevel="0" collapsed="false">
      <c r="A25" s="12" t="s">
        <v>116</v>
      </c>
      <c r="B25" s="7" t="s">
        <v>61</v>
      </c>
      <c r="C25" s="12" t="s">
        <v>117</v>
      </c>
      <c r="D25" s="7" t="s">
        <v>88</v>
      </c>
      <c r="E25" s="12" t="s">
        <v>86</v>
      </c>
      <c r="F25" s="21" t="n">
        <v>200</v>
      </c>
      <c r="G25" s="12" t="s">
        <v>86</v>
      </c>
      <c r="H25" s="21" t="n">
        <v>540</v>
      </c>
      <c r="I25" s="7" t="s">
        <v>118</v>
      </c>
    </row>
    <row r="27" customFormat="false" ht="15" hidden="false" customHeight="false" outlineLevel="0" collapsed="false">
      <c r="A27" s="18" t="s">
        <v>119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22.35" hidden="false" customHeight="false" outlineLevel="0" collapsed="false">
      <c r="A28" s="9" t="s">
        <v>51</v>
      </c>
      <c r="B28" s="9" t="s">
        <v>120</v>
      </c>
      <c r="C28" s="9" t="s">
        <v>121</v>
      </c>
      <c r="D28" s="9" t="s">
        <v>122</v>
      </c>
      <c r="E28" s="9" t="s">
        <v>123</v>
      </c>
      <c r="F28" s="9" t="s">
        <v>124</v>
      </c>
      <c r="G28" s="9" t="s">
        <v>125</v>
      </c>
      <c r="H28" s="9" t="s">
        <v>59</v>
      </c>
    </row>
    <row r="29" customFormat="false" ht="15" hidden="false" customHeight="false" outlineLevel="0" collapsed="false">
      <c r="A29" s="11" t="s">
        <v>60</v>
      </c>
      <c r="B29" s="5" t="s">
        <v>126</v>
      </c>
      <c r="C29" s="5" t="s">
        <v>127</v>
      </c>
      <c r="D29" s="20" t="n">
        <v>40</v>
      </c>
      <c r="E29" s="20" t="n">
        <v>38</v>
      </c>
      <c r="F29" s="20" t="n">
        <v>8</v>
      </c>
      <c r="G29" s="20" t="n">
        <v>0</v>
      </c>
      <c r="H29" s="5" t="s">
        <v>128</v>
      </c>
    </row>
    <row r="30" customFormat="false" ht="15" hidden="false" customHeight="false" outlineLevel="0" collapsed="false">
      <c r="A30" s="12" t="s">
        <v>60</v>
      </c>
      <c r="B30" s="7" t="s">
        <v>126</v>
      </c>
      <c r="C30" s="7" t="s">
        <v>129</v>
      </c>
      <c r="D30" s="21" t="n">
        <v>8</v>
      </c>
      <c r="E30" s="21" t="n">
        <v>7</v>
      </c>
      <c r="F30" s="21" t="n">
        <v>8</v>
      </c>
      <c r="G30" s="21" t="n">
        <v>0</v>
      </c>
      <c r="H30" s="7" t="s">
        <v>130</v>
      </c>
    </row>
    <row r="31" customFormat="false" ht="15" hidden="false" customHeight="false" outlineLevel="0" collapsed="false">
      <c r="A31" s="11" t="s">
        <v>60</v>
      </c>
      <c r="B31" s="5" t="s">
        <v>131</v>
      </c>
      <c r="C31" s="5" t="s">
        <v>132</v>
      </c>
      <c r="D31" s="20" t="n">
        <v>4</v>
      </c>
      <c r="E31" s="20" t="n">
        <v>4</v>
      </c>
      <c r="F31" s="20" t="n">
        <v>10</v>
      </c>
      <c r="G31" s="20" t="n">
        <v>0</v>
      </c>
      <c r="H31" s="5" t="s">
        <v>133</v>
      </c>
    </row>
    <row r="32" customFormat="false" ht="15" hidden="false" customHeight="false" outlineLevel="0" collapsed="false">
      <c r="A32" s="12" t="s">
        <v>60</v>
      </c>
      <c r="B32" s="7" t="s">
        <v>131</v>
      </c>
      <c r="C32" s="7" t="s">
        <v>134</v>
      </c>
      <c r="D32" s="21" t="n">
        <v>12</v>
      </c>
      <c r="E32" s="21" t="n">
        <v>11</v>
      </c>
      <c r="F32" s="21" t="n">
        <v>10</v>
      </c>
      <c r="G32" s="21" t="n">
        <v>1</v>
      </c>
      <c r="H32" s="7" t="s">
        <v>135</v>
      </c>
    </row>
    <row r="33" customFormat="false" ht="15" hidden="false" customHeight="false" outlineLevel="0" collapsed="false">
      <c r="A33" s="11" t="s">
        <v>68</v>
      </c>
      <c r="B33" s="5" t="s">
        <v>126</v>
      </c>
      <c r="C33" s="5" t="s">
        <v>127</v>
      </c>
      <c r="D33" s="20" t="n">
        <v>40</v>
      </c>
      <c r="E33" s="20" t="n">
        <v>40</v>
      </c>
      <c r="F33" s="20" t="n">
        <v>8</v>
      </c>
      <c r="G33" s="20" t="n">
        <v>0</v>
      </c>
      <c r="H33" s="5" t="s">
        <v>136</v>
      </c>
    </row>
    <row r="34" customFormat="false" ht="15" hidden="false" customHeight="false" outlineLevel="0" collapsed="false">
      <c r="A34" s="12" t="s">
        <v>68</v>
      </c>
      <c r="B34" s="7" t="s">
        <v>131</v>
      </c>
      <c r="C34" s="7" t="s">
        <v>137</v>
      </c>
      <c r="D34" s="21" t="n">
        <v>3</v>
      </c>
      <c r="E34" s="21" t="n">
        <v>3</v>
      </c>
      <c r="F34" s="21" t="n">
        <v>9</v>
      </c>
      <c r="G34" s="21" t="n">
        <v>0</v>
      </c>
      <c r="H34" s="7" t="s">
        <v>138</v>
      </c>
    </row>
    <row r="35" customFormat="false" ht="15" hidden="false" customHeight="false" outlineLevel="0" collapsed="false">
      <c r="A35" s="11" t="s">
        <v>68</v>
      </c>
      <c r="B35" s="5" t="s">
        <v>131</v>
      </c>
      <c r="C35" s="5" t="s">
        <v>139</v>
      </c>
      <c r="D35" s="20" t="n">
        <v>2</v>
      </c>
      <c r="E35" s="20" t="n">
        <v>2</v>
      </c>
      <c r="F35" s="20" t="n">
        <v>9</v>
      </c>
      <c r="G35" s="20" t="n">
        <v>0</v>
      </c>
      <c r="H35" s="5" t="s">
        <v>140</v>
      </c>
    </row>
    <row r="36" customFormat="false" ht="15" hidden="false" customHeight="false" outlineLevel="0" collapsed="false">
      <c r="A36" s="12" t="s">
        <v>72</v>
      </c>
      <c r="B36" s="7" t="s">
        <v>126</v>
      </c>
      <c r="C36" s="7" t="s">
        <v>127</v>
      </c>
      <c r="D36" s="21" t="n">
        <v>40</v>
      </c>
      <c r="E36" s="21" t="n">
        <v>36</v>
      </c>
      <c r="F36" s="21" t="n">
        <v>8</v>
      </c>
      <c r="G36" s="21" t="n">
        <v>0</v>
      </c>
      <c r="H36" s="7" t="s">
        <v>141</v>
      </c>
    </row>
    <row r="37" customFormat="false" ht="15" hidden="false" customHeight="false" outlineLevel="0" collapsed="false">
      <c r="A37" s="11" t="s">
        <v>72</v>
      </c>
      <c r="B37" s="5" t="s">
        <v>131</v>
      </c>
      <c r="C37" s="5" t="s">
        <v>142</v>
      </c>
      <c r="D37" s="20" t="n">
        <v>1</v>
      </c>
      <c r="E37" s="20" t="n">
        <v>1</v>
      </c>
      <c r="F37" s="20" t="n">
        <v>8</v>
      </c>
      <c r="G37" s="20" t="n">
        <v>0</v>
      </c>
      <c r="H37" s="5" t="s">
        <v>143</v>
      </c>
    </row>
    <row r="38" customFormat="false" ht="15" hidden="false" customHeight="false" outlineLevel="0" collapsed="false">
      <c r="A38" s="12" t="s">
        <v>72</v>
      </c>
      <c r="B38" s="7" t="s">
        <v>131</v>
      </c>
      <c r="C38" s="7" t="s">
        <v>144</v>
      </c>
      <c r="D38" s="21" t="n">
        <v>1</v>
      </c>
      <c r="E38" s="21" t="n">
        <v>1</v>
      </c>
      <c r="F38" s="21" t="n">
        <v>10</v>
      </c>
      <c r="G38" s="21" t="n">
        <v>0</v>
      </c>
      <c r="H38" s="7" t="s">
        <v>145</v>
      </c>
    </row>
    <row r="39" customFormat="false" ht="15" hidden="false" customHeight="false" outlineLevel="0" collapsed="false">
      <c r="A39" s="11" t="s">
        <v>79</v>
      </c>
      <c r="B39" s="5" t="s">
        <v>126</v>
      </c>
      <c r="C39" s="5" t="s">
        <v>146</v>
      </c>
      <c r="D39" s="20" t="n">
        <v>6</v>
      </c>
      <c r="E39" s="20" t="n">
        <v>5</v>
      </c>
      <c r="F39" s="20" t="n">
        <v>8</v>
      </c>
      <c r="G39" s="20" t="n">
        <v>1</v>
      </c>
      <c r="H39" s="5" t="s">
        <v>147</v>
      </c>
    </row>
    <row r="40" customFormat="false" ht="15" hidden="false" customHeight="false" outlineLevel="0" collapsed="false">
      <c r="A40" s="12" t="s">
        <v>79</v>
      </c>
      <c r="B40" s="7" t="s">
        <v>131</v>
      </c>
      <c r="C40" s="7" t="s">
        <v>132</v>
      </c>
      <c r="D40" s="21" t="n">
        <v>4</v>
      </c>
      <c r="E40" s="21" t="n">
        <v>3</v>
      </c>
      <c r="F40" s="21" t="n">
        <v>8</v>
      </c>
      <c r="G40" s="21" t="n">
        <v>2</v>
      </c>
      <c r="H40" s="7" t="s">
        <v>148</v>
      </c>
    </row>
    <row r="41" customFormat="false" ht="15" hidden="false" customHeight="false" outlineLevel="0" collapsed="false">
      <c r="A41" s="11" t="s">
        <v>83</v>
      </c>
      <c r="B41" s="5" t="s">
        <v>126</v>
      </c>
      <c r="C41" s="5" t="s">
        <v>149</v>
      </c>
      <c r="D41" s="20" t="n">
        <v>5</v>
      </c>
      <c r="E41" s="20" t="n">
        <v>5</v>
      </c>
      <c r="F41" s="20" t="n">
        <v>10</v>
      </c>
      <c r="G41" s="20" t="n">
        <v>0</v>
      </c>
      <c r="H41" s="5" t="s">
        <v>150</v>
      </c>
    </row>
    <row r="42" customFormat="false" ht="15" hidden="false" customHeight="false" outlineLevel="0" collapsed="false">
      <c r="A42" s="12" t="s">
        <v>83</v>
      </c>
      <c r="B42" s="7" t="s">
        <v>131</v>
      </c>
      <c r="C42" s="7" t="s">
        <v>151</v>
      </c>
      <c r="D42" s="21" t="n">
        <v>1</v>
      </c>
      <c r="E42" s="21" t="n">
        <v>1</v>
      </c>
      <c r="F42" s="21" t="n">
        <v>10</v>
      </c>
      <c r="G42" s="21" t="n">
        <v>0</v>
      </c>
      <c r="H42" s="7" t="s">
        <v>152</v>
      </c>
    </row>
    <row r="43" customFormat="false" ht="15" hidden="false" customHeight="false" outlineLevel="0" collapsed="false">
      <c r="A43" s="11" t="s">
        <v>83</v>
      </c>
      <c r="B43" s="5" t="s">
        <v>131</v>
      </c>
      <c r="C43" s="5" t="s">
        <v>153</v>
      </c>
      <c r="D43" s="20" t="n">
        <v>2</v>
      </c>
      <c r="E43" s="20" t="n">
        <v>2</v>
      </c>
      <c r="F43" s="20" t="n">
        <v>9</v>
      </c>
      <c r="G43" s="20" t="n">
        <v>0</v>
      </c>
      <c r="H43" s="5" t="s">
        <v>154</v>
      </c>
    </row>
    <row r="44" customFormat="false" ht="15" hidden="false" customHeight="false" outlineLevel="0" collapsed="false">
      <c r="A44" s="12" t="s">
        <v>90</v>
      </c>
      <c r="B44" s="7" t="s">
        <v>126</v>
      </c>
      <c r="C44" s="7" t="s">
        <v>127</v>
      </c>
      <c r="D44" s="21" t="n">
        <v>40</v>
      </c>
      <c r="E44" s="21" t="n">
        <v>38</v>
      </c>
      <c r="F44" s="21" t="n">
        <v>8</v>
      </c>
      <c r="G44" s="21" t="n">
        <v>0</v>
      </c>
      <c r="H44" s="7" t="s">
        <v>155</v>
      </c>
    </row>
    <row r="45" customFormat="false" ht="15" hidden="false" customHeight="false" outlineLevel="0" collapsed="false">
      <c r="A45" s="11" t="s">
        <v>94</v>
      </c>
      <c r="B45" s="5" t="s">
        <v>126</v>
      </c>
      <c r="C45" s="5" t="s">
        <v>156</v>
      </c>
      <c r="D45" s="20" t="n">
        <v>10</v>
      </c>
      <c r="E45" s="20" t="n">
        <v>10</v>
      </c>
      <c r="F45" s="20" t="n">
        <v>8</v>
      </c>
      <c r="G45" s="20" t="n">
        <v>0</v>
      </c>
      <c r="H45" s="5" t="s">
        <v>157</v>
      </c>
    </row>
    <row r="46" customFormat="false" ht="15" hidden="false" customHeight="false" outlineLevel="0" collapsed="false">
      <c r="A46" s="12" t="s">
        <v>94</v>
      </c>
      <c r="B46" s="7" t="s">
        <v>126</v>
      </c>
      <c r="C46" s="7" t="s">
        <v>158</v>
      </c>
      <c r="D46" s="21" t="n">
        <v>4</v>
      </c>
      <c r="E46" s="21" t="n">
        <v>4</v>
      </c>
      <c r="F46" s="21" t="n">
        <v>8</v>
      </c>
      <c r="G46" s="21" t="n">
        <v>0</v>
      </c>
      <c r="H46" s="7" t="s">
        <v>159</v>
      </c>
    </row>
    <row r="47" customFormat="false" ht="15" hidden="false" customHeight="false" outlineLevel="0" collapsed="false">
      <c r="A47" s="11" t="s">
        <v>94</v>
      </c>
      <c r="B47" s="5" t="s">
        <v>131</v>
      </c>
      <c r="C47" s="5" t="s">
        <v>160</v>
      </c>
      <c r="D47" s="20" t="n">
        <v>3</v>
      </c>
      <c r="E47" s="20" t="n">
        <v>3</v>
      </c>
      <c r="F47" s="20" t="n">
        <v>8</v>
      </c>
      <c r="G47" s="20" t="n">
        <v>0</v>
      </c>
      <c r="H47" s="5" t="s">
        <v>161</v>
      </c>
    </row>
    <row r="48" customFormat="false" ht="15" hidden="false" customHeight="false" outlineLevel="0" collapsed="false">
      <c r="A48" s="12" t="s">
        <v>103</v>
      </c>
      <c r="B48" s="7" t="s">
        <v>131</v>
      </c>
      <c r="C48" s="7" t="s">
        <v>134</v>
      </c>
      <c r="D48" s="21" t="n">
        <v>12</v>
      </c>
      <c r="E48" s="21" t="n">
        <v>12</v>
      </c>
      <c r="F48" s="21" t="n">
        <v>10</v>
      </c>
      <c r="G48" s="21" t="n">
        <v>0</v>
      </c>
      <c r="H48" s="7" t="s">
        <v>162</v>
      </c>
    </row>
    <row r="50" customFormat="false" ht="15" hidden="false" customHeight="false" outlineLevel="0" collapsed="false">
      <c r="A50" s="18" t="s">
        <v>163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35.05" hidden="false" customHeight="false" outlineLevel="0" collapsed="false">
      <c r="A51" s="19" t="s">
        <v>51</v>
      </c>
      <c r="B51" s="19" t="s">
        <v>164</v>
      </c>
      <c r="C51" s="19" t="s">
        <v>165</v>
      </c>
      <c r="D51" s="19" t="s">
        <v>166</v>
      </c>
      <c r="E51" s="19" t="s">
        <v>167</v>
      </c>
      <c r="F51" s="19" t="s">
        <v>168</v>
      </c>
      <c r="G51" s="19" t="s">
        <v>169</v>
      </c>
      <c r="H51" s="19" t="s">
        <v>59</v>
      </c>
    </row>
    <row r="52" customFormat="false" ht="15" hidden="false" customHeight="false" outlineLevel="0" collapsed="false">
      <c r="A52" s="11" t="s">
        <v>60</v>
      </c>
      <c r="B52" s="22" t="n">
        <v>36</v>
      </c>
      <c r="C52" s="22" t="n">
        <v>22</v>
      </c>
      <c r="D52" s="22" t="n">
        <v>0</v>
      </c>
      <c r="E52" s="22" t="n">
        <v>12</v>
      </c>
      <c r="F52" s="5" t="s">
        <v>170</v>
      </c>
      <c r="G52" s="22" t="n">
        <v>10</v>
      </c>
      <c r="H52" s="5" t="s">
        <v>171</v>
      </c>
    </row>
    <row r="53" customFormat="false" ht="15" hidden="false" customHeight="false" outlineLevel="0" collapsed="false">
      <c r="A53" s="12" t="s">
        <v>68</v>
      </c>
      <c r="B53" s="23" t="n">
        <v>37</v>
      </c>
      <c r="C53" s="23" t="n">
        <v>23</v>
      </c>
      <c r="D53" s="23" t="n">
        <v>0</v>
      </c>
      <c r="E53" s="23" t="n">
        <v>14</v>
      </c>
      <c r="F53" s="7" t="s">
        <v>172</v>
      </c>
      <c r="G53" s="23" t="n">
        <v>10</v>
      </c>
      <c r="H53" s="7" t="s">
        <v>173</v>
      </c>
    </row>
    <row r="54" customFormat="false" ht="15" hidden="false" customHeight="false" outlineLevel="0" collapsed="false">
      <c r="A54" s="11" t="s">
        <v>72</v>
      </c>
      <c r="B54" s="22" t="n">
        <v>38</v>
      </c>
      <c r="C54" s="22" t="n">
        <v>24</v>
      </c>
      <c r="D54" s="22" t="n">
        <v>0</v>
      </c>
      <c r="E54" s="22" t="n">
        <v>10</v>
      </c>
      <c r="F54" s="5" t="s">
        <v>174</v>
      </c>
      <c r="G54" s="22" t="n">
        <v>10</v>
      </c>
      <c r="H54" s="5" t="s">
        <v>175</v>
      </c>
    </row>
    <row r="55" customFormat="false" ht="15" hidden="false" customHeight="false" outlineLevel="0" collapsed="false">
      <c r="A55" s="12" t="s">
        <v>79</v>
      </c>
      <c r="B55" s="23" t="n">
        <v>35</v>
      </c>
      <c r="C55" s="23" t="n">
        <v>22</v>
      </c>
      <c r="D55" s="23" t="n">
        <v>2</v>
      </c>
      <c r="E55" s="23" t="n">
        <v>18</v>
      </c>
      <c r="F55" s="7" t="s">
        <v>176</v>
      </c>
      <c r="G55" s="23" t="n">
        <v>9</v>
      </c>
      <c r="H55" s="7" t="s">
        <v>177</v>
      </c>
    </row>
    <row r="56" customFormat="false" ht="15" hidden="false" customHeight="false" outlineLevel="0" collapsed="false">
      <c r="A56" s="11" t="s">
        <v>83</v>
      </c>
      <c r="B56" s="22" t="n">
        <v>36</v>
      </c>
      <c r="C56" s="22" t="n">
        <v>21</v>
      </c>
      <c r="D56" s="22" t="n">
        <v>0</v>
      </c>
      <c r="E56" s="22" t="n">
        <v>11</v>
      </c>
      <c r="F56" s="5" t="s">
        <v>178</v>
      </c>
      <c r="G56" s="22" t="n">
        <v>10</v>
      </c>
      <c r="H56" s="5" t="s">
        <v>179</v>
      </c>
    </row>
    <row r="57" customFormat="false" ht="15" hidden="false" customHeight="false" outlineLevel="0" collapsed="false">
      <c r="A57" s="12" t="s">
        <v>90</v>
      </c>
      <c r="B57" s="23" t="n">
        <v>37</v>
      </c>
      <c r="C57" s="23" t="n">
        <v>22</v>
      </c>
      <c r="D57" s="23" t="n">
        <v>0</v>
      </c>
      <c r="E57" s="23" t="n">
        <v>13</v>
      </c>
      <c r="F57" s="7" t="s">
        <v>180</v>
      </c>
      <c r="G57" s="23" t="n">
        <v>10</v>
      </c>
      <c r="H57" s="7" t="s">
        <v>181</v>
      </c>
    </row>
    <row r="58" customFormat="false" ht="15" hidden="false" customHeight="false" outlineLevel="0" collapsed="false">
      <c r="A58" s="11" t="s">
        <v>94</v>
      </c>
      <c r="B58" s="22" t="n">
        <v>38</v>
      </c>
      <c r="C58" s="22" t="n">
        <v>24</v>
      </c>
      <c r="D58" s="22" t="n">
        <v>0</v>
      </c>
      <c r="E58" s="22" t="n">
        <v>9</v>
      </c>
      <c r="F58" s="5" t="s">
        <v>182</v>
      </c>
      <c r="G58" s="22" t="n">
        <v>10</v>
      </c>
      <c r="H58" s="5" t="s">
        <v>183</v>
      </c>
    </row>
    <row r="59" customFormat="false" ht="22.35" hidden="false" customHeight="false" outlineLevel="0" collapsed="false">
      <c r="A59" s="12" t="s">
        <v>103</v>
      </c>
      <c r="B59" s="23" t="n">
        <v>36</v>
      </c>
      <c r="C59" s="23" t="n">
        <v>23</v>
      </c>
      <c r="D59" s="23" t="n">
        <v>5</v>
      </c>
      <c r="E59" s="23" t="n">
        <v>20</v>
      </c>
      <c r="F59" s="7" t="s">
        <v>184</v>
      </c>
      <c r="G59" s="23" t="n">
        <v>8</v>
      </c>
      <c r="H59" s="7" t="s">
        <v>185</v>
      </c>
    </row>
    <row r="60" customFormat="false" ht="15" hidden="false" customHeight="false" outlineLevel="0" collapsed="false">
      <c r="A60" s="11" t="s">
        <v>107</v>
      </c>
      <c r="B60" s="22" t="n">
        <v>34</v>
      </c>
      <c r="C60" s="22" t="n">
        <v>21</v>
      </c>
      <c r="D60" s="22" t="n">
        <v>0</v>
      </c>
      <c r="E60" s="22" t="n">
        <v>15</v>
      </c>
      <c r="F60" s="5" t="s">
        <v>178</v>
      </c>
      <c r="G60" s="22" t="n">
        <v>10</v>
      </c>
      <c r="H60" s="5" t="s">
        <v>186</v>
      </c>
    </row>
    <row r="61" customFormat="false" ht="15" hidden="false" customHeight="false" outlineLevel="0" collapsed="false">
      <c r="A61" s="12" t="s">
        <v>110</v>
      </c>
      <c r="B61" s="23" t="n">
        <v>37</v>
      </c>
      <c r="C61" s="23" t="n">
        <v>22</v>
      </c>
      <c r="D61" s="23" t="n">
        <v>0</v>
      </c>
      <c r="E61" s="23" t="n">
        <v>12</v>
      </c>
      <c r="F61" s="7" t="s">
        <v>180</v>
      </c>
      <c r="G61" s="23" t="n">
        <v>10</v>
      </c>
      <c r="H61" s="7" t="s">
        <v>187</v>
      </c>
    </row>
    <row r="62" customFormat="false" ht="15" hidden="false" customHeight="false" outlineLevel="0" collapsed="false">
      <c r="A62" s="11" t="s">
        <v>113</v>
      </c>
      <c r="B62" s="22" t="n">
        <v>38</v>
      </c>
      <c r="C62" s="22" t="n">
        <v>23</v>
      </c>
      <c r="D62" s="22" t="n">
        <v>0</v>
      </c>
      <c r="E62" s="22" t="n">
        <v>10</v>
      </c>
      <c r="F62" s="5" t="s">
        <v>178</v>
      </c>
      <c r="G62" s="22" t="n">
        <v>10</v>
      </c>
      <c r="H62" s="5" t="s">
        <v>188</v>
      </c>
    </row>
    <row r="63" customFormat="false" ht="15" hidden="false" customHeight="false" outlineLevel="0" collapsed="false">
      <c r="A63" s="12" t="s">
        <v>116</v>
      </c>
      <c r="B63" s="23" t="n">
        <v>39</v>
      </c>
      <c r="C63" s="23" t="n">
        <v>25</v>
      </c>
      <c r="D63" s="23" t="n">
        <v>0</v>
      </c>
      <c r="E63" s="23" t="n">
        <v>8</v>
      </c>
      <c r="F63" s="7" t="s">
        <v>174</v>
      </c>
      <c r="G63" s="23" t="n">
        <v>10</v>
      </c>
      <c r="H63" s="7" t="s">
        <v>189</v>
      </c>
    </row>
    <row r="65" customFormat="false" ht="15" hidden="false" customHeight="false" outlineLevel="0" collapsed="false">
      <c r="A65" s="18" t="s">
        <v>190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22.35" hidden="false" customHeight="false" outlineLevel="0" collapsed="false">
      <c r="A66" s="9" t="s">
        <v>51</v>
      </c>
      <c r="B66" s="9" t="s">
        <v>191</v>
      </c>
      <c r="C66" s="9" t="s">
        <v>192</v>
      </c>
      <c r="D66" s="9" t="s">
        <v>193</v>
      </c>
      <c r="E66" s="9" t="s">
        <v>57</v>
      </c>
      <c r="F66" s="9" t="s">
        <v>194</v>
      </c>
      <c r="G66" s="9" t="s">
        <v>195</v>
      </c>
      <c r="H66" s="9" t="s">
        <v>196</v>
      </c>
    </row>
    <row r="67" customFormat="false" ht="32.8" hidden="false" customHeight="false" outlineLevel="0" collapsed="false">
      <c r="A67" s="11" t="s">
        <v>60</v>
      </c>
      <c r="B67" s="5" t="s">
        <v>197</v>
      </c>
      <c r="C67" s="5" t="s">
        <v>198</v>
      </c>
      <c r="D67" s="22" t="n">
        <v>1600</v>
      </c>
      <c r="E67" s="11" t="s">
        <v>64</v>
      </c>
      <c r="F67" s="5" t="s">
        <v>199</v>
      </c>
      <c r="G67" s="5" t="s">
        <v>200</v>
      </c>
      <c r="H67" s="5" t="s">
        <v>68</v>
      </c>
    </row>
    <row r="68" customFormat="false" ht="53.7" hidden="false" customHeight="false" outlineLevel="0" collapsed="false">
      <c r="A68" s="12" t="s">
        <v>68</v>
      </c>
      <c r="B68" s="7" t="s">
        <v>201</v>
      </c>
      <c r="C68" s="7" t="s">
        <v>202</v>
      </c>
      <c r="D68" s="23" t="n">
        <v>800</v>
      </c>
      <c r="E68" s="12" t="s">
        <v>64</v>
      </c>
      <c r="F68" s="7" t="s">
        <v>203</v>
      </c>
      <c r="G68" s="7" t="s">
        <v>204</v>
      </c>
      <c r="H68" s="7" t="s">
        <v>72</v>
      </c>
    </row>
    <row r="69" customFormat="false" ht="32.8" hidden="false" customHeight="false" outlineLevel="0" collapsed="false">
      <c r="A69" s="11" t="s">
        <v>72</v>
      </c>
      <c r="B69" s="5" t="s">
        <v>205</v>
      </c>
      <c r="C69" s="5" t="s">
        <v>206</v>
      </c>
      <c r="D69" s="22" t="n">
        <v>660</v>
      </c>
      <c r="E69" s="11" t="s">
        <v>64</v>
      </c>
      <c r="F69" s="5" t="s">
        <v>207</v>
      </c>
      <c r="G69" s="5" t="s">
        <v>208</v>
      </c>
      <c r="H69" s="5" t="s">
        <v>79</v>
      </c>
    </row>
    <row r="70" customFormat="false" ht="32.8" hidden="false" customHeight="false" outlineLevel="0" collapsed="false">
      <c r="A70" s="12" t="s">
        <v>79</v>
      </c>
      <c r="B70" s="7" t="s">
        <v>209</v>
      </c>
      <c r="C70" s="7" t="s">
        <v>210</v>
      </c>
      <c r="D70" s="23" t="n">
        <v>500</v>
      </c>
      <c r="E70" s="12" t="s">
        <v>86</v>
      </c>
      <c r="F70" s="7" t="s">
        <v>211</v>
      </c>
      <c r="G70" s="7" t="s">
        <v>212</v>
      </c>
      <c r="H70" s="7" t="s">
        <v>83</v>
      </c>
    </row>
    <row r="71" customFormat="false" ht="32.8" hidden="false" customHeight="false" outlineLevel="0" collapsed="false">
      <c r="A71" s="11" t="s">
        <v>83</v>
      </c>
      <c r="B71" s="5" t="s">
        <v>213</v>
      </c>
      <c r="C71" s="5" t="s">
        <v>214</v>
      </c>
      <c r="D71" s="22" t="n">
        <v>450</v>
      </c>
      <c r="E71" s="11" t="s">
        <v>86</v>
      </c>
      <c r="F71" s="5" t="s">
        <v>215</v>
      </c>
      <c r="G71" s="5" t="s">
        <v>204</v>
      </c>
      <c r="H71" s="5" t="s">
        <v>90</v>
      </c>
    </row>
    <row r="72" customFormat="false" ht="32.8" hidden="false" customHeight="false" outlineLevel="0" collapsed="false">
      <c r="A72" s="12" t="s">
        <v>90</v>
      </c>
      <c r="B72" s="7" t="s">
        <v>216</v>
      </c>
      <c r="C72" s="7" t="s">
        <v>217</v>
      </c>
      <c r="D72" s="23" t="s">
        <v>218</v>
      </c>
      <c r="E72" s="12" t="s">
        <v>219</v>
      </c>
      <c r="F72" s="7" t="s">
        <v>220</v>
      </c>
      <c r="G72" s="7" t="s">
        <v>221</v>
      </c>
      <c r="H72" s="7" t="s">
        <v>94</v>
      </c>
    </row>
    <row r="73" customFormat="false" ht="43.25" hidden="false" customHeight="false" outlineLevel="0" collapsed="false">
      <c r="A73" s="11" t="s">
        <v>94</v>
      </c>
      <c r="B73" s="5" t="s">
        <v>222</v>
      </c>
      <c r="C73" s="5" t="s">
        <v>223</v>
      </c>
      <c r="D73" s="22" t="n">
        <v>330</v>
      </c>
      <c r="E73" s="11" t="s">
        <v>98</v>
      </c>
      <c r="F73" s="5" t="s">
        <v>224</v>
      </c>
      <c r="G73" s="5" t="s">
        <v>225</v>
      </c>
      <c r="H73" s="5" t="s">
        <v>103</v>
      </c>
    </row>
    <row r="74" customFormat="false" ht="32.8" hidden="false" customHeight="false" outlineLevel="0" collapsed="false">
      <c r="A74" s="12" t="s">
        <v>103</v>
      </c>
      <c r="B74" s="7" t="s">
        <v>226</v>
      </c>
      <c r="C74" s="7" t="s">
        <v>227</v>
      </c>
      <c r="D74" s="23" t="n">
        <v>510</v>
      </c>
      <c r="E74" s="12" t="s">
        <v>64</v>
      </c>
      <c r="F74" s="7" t="s">
        <v>228</v>
      </c>
      <c r="G74" s="7" t="s">
        <v>229</v>
      </c>
      <c r="H74" s="7" t="s">
        <v>107</v>
      </c>
    </row>
    <row r="75" customFormat="false" ht="43.25" hidden="false" customHeight="false" outlineLevel="0" collapsed="false">
      <c r="A75" s="11" t="s">
        <v>107</v>
      </c>
      <c r="B75" s="5" t="s">
        <v>230</v>
      </c>
      <c r="C75" s="5" t="s">
        <v>231</v>
      </c>
      <c r="D75" s="22" t="n">
        <v>410</v>
      </c>
      <c r="E75" s="11" t="s">
        <v>64</v>
      </c>
      <c r="F75" s="5" t="s">
        <v>232</v>
      </c>
      <c r="G75" s="5" t="s">
        <v>233</v>
      </c>
      <c r="H75" s="5" t="s">
        <v>110</v>
      </c>
    </row>
    <row r="76" customFormat="false" ht="43.25" hidden="false" customHeight="false" outlineLevel="0" collapsed="false">
      <c r="A76" s="12" t="s">
        <v>110</v>
      </c>
      <c r="B76" s="7" t="s">
        <v>234</v>
      </c>
      <c r="C76" s="7" t="s">
        <v>235</v>
      </c>
      <c r="D76" s="23" t="n">
        <v>350</v>
      </c>
      <c r="E76" s="12" t="s">
        <v>86</v>
      </c>
      <c r="F76" s="7" t="s">
        <v>236</v>
      </c>
      <c r="G76" s="7" t="s">
        <v>237</v>
      </c>
      <c r="H76" s="7" t="s">
        <v>113</v>
      </c>
    </row>
    <row r="77" customFormat="false" ht="32.8" hidden="false" customHeight="false" outlineLevel="0" collapsed="false">
      <c r="A77" s="11" t="s">
        <v>113</v>
      </c>
      <c r="B77" s="5" t="s">
        <v>238</v>
      </c>
      <c r="C77" s="5" t="s">
        <v>239</v>
      </c>
      <c r="D77" s="22" t="n">
        <v>200</v>
      </c>
      <c r="E77" s="11" t="s">
        <v>86</v>
      </c>
      <c r="F77" s="5" t="s">
        <v>240</v>
      </c>
      <c r="G77" s="5" t="s">
        <v>241</v>
      </c>
      <c r="H77" s="5" t="s">
        <v>116</v>
      </c>
    </row>
  </sheetData>
  <mergeCells count="6">
    <mergeCell ref="A1:P1"/>
    <mergeCell ref="A2:P2"/>
    <mergeCell ref="A4:P4"/>
    <mergeCell ref="A27:P27"/>
    <mergeCell ref="A50:P50"/>
    <mergeCell ref="A65:P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4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16" t="s">
        <v>242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customFormat="false" ht="15" hidden="false" customHeight="false" outlineLevel="0" collapsed="false">
      <c r="A3" s="18" t="s">
        <v>243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customFormat="false" ht="35.05" hidden="false" customHeight="false" outlineLevel="0" collapsed="false">
      <c r="A4" s="24" t="s">
        <v>244</v>
      </c>
      <c r="B4" s="24" t="s">
        <v>54</v>
      </c>
      <c r="C4" s="24" t="s">
        <v>245</v>
      </c>
      <c r="D4" s="24" t="s">
        <v>246</v>
      </c>
      <c r="E4" s="24" t="s">
        <v>247</v>
      </c>
      <c r="F4" s="24" t="s">
        <v>248</v>
      </c>
      <c r="G4" s="24" t="s">
        <v>59</v>
      </c>
    </row>
    <row r="5" customFormat="false" ht="15" hidden="false" customHeight="false" outlineLevel="0" collapsed="false">
      <c r="A5" s="11" t="n">
        <v>1</v>
      </c>
      <c r="B5" s="5" t="s">
        <v>249</v>
      </c>
      <c r="C5" s="11" t="s">
        <v>64</v>
      </c>
      <c r="D5" s="25" t="n">
        <v>2.5</v>
      </c>
      <c r="E5" s="25" t="n">
        <v>20</v>
      </c>
      <c r="F5" s="25" t="n">
        <v>50</v>
      </c>
      <c r="G5" s="5" t="s">
        <v>250</v>
      </c>
    </row>
    <row r="6" customFormat="false" ht="15" hidden="false" customHeight="false" outlineLevel="0" collapsed="false">
      <c r="A6" s="12" t="n">
        <v>2</v>
      </c>
      <c r="B6" s="7" t="s">
        <v>251</v>
      </c>
      <c r="C6" s="12" t="s">
        <v>64</v>
      </c>
      <c r="D6" s="26" t="n">
        <v>1.2</v>
      </c>
      <c r="E6" s="26" t="n">
        <v>30</v>
      </c>
      <c r="F6" s="26" t="n">
        <v>36</v>
      </c>
      <c r="G6" s="7" t="s">
        <v>252</v>
      </c>
    </row>
    <row r="7" customFormat="false" ht="15" hidden="false" customHeight="false" outlineLevel="0" collapsed="false">
      <c r="A7" s="11" t="n">
        <v>3</v>
      </c>
      <c r="B7" s="5" t="s">
        <v>253</v>
      </c>
      <c r="C7" s="11" t="s">
        <v>64</v>
      </c>
      <c r="D7" s="25" t="n">
        <v>4</v>
      </c>
      <c r="E7" s="25" t="n">
        <v>15</v>
      </c>
      <c r="F7" s="25" t="n">
        <v>60</v>
      </c>
      <c r="G7" s="5" t="s">
        <v>254</v>
      </c>
    </row>
    <row r="8" customFormat="false" ht="15" hidden="false" customHeight="false" outlineLevel="0" collapsed="false">
      <c r="A8" s="12" t="n">
        <v>4</v>
      </c>
      <c r="B8" s="7" t="s">
        <v>255</v>
      </c>
      <c r="C8" s="12" t="s">
        <v>64</v>
      </c>
      <c r="D8" s="26" t="n">
        <v>5</v>
      </c>
      <c r="E8" s="26" t="n">
        <v>12</v>
      </c>
      <c r="F8" s="26" t="n">
        <v>60</v>
      </c>
      <c r="G8" s="7" t="s">
        <v>256</v>
      </c>
    </row>
    <row r="9" customFormat="false" ht="15" hidden="false" customHeight="false" outlineLevel="0" collapsed="false">
      <c r="A9" s="11" t="n">
        <v>5</v>
      </c>
      <c r="B9" s="5" t="s">
        <v>257</v>
      </c>
      <c r="C9" s="11" t="s">
        <v>64</v>
      </c>
      <c r="D9" s="25" t="n">
        <v>4.5</v>
      </c>
      <c r="E9" s="25" t="n">
        <v>14</v>
      </c>
      <c r="F9" s="25" t="n">
        <v>63</v>
      </c>
      <c r="G9" s="5" t="s">
        <v>258</v>
      </c>
    </row>
    <row r="10" customFormat="false" ht="15" hidden="false" customHeight="false" outlineLevel="0" collapsed="false">
      <c r="A10" s="12" t="n">
        <v>6</v>
      </c>
      <c r="B10" s="7" t="s">
        <v>259</v>
      </c>
      <c r="C10" s="12" t="s">
        <v>86</v>
      </c>
      <c r="D10" s="26" t="n">
        <v>6</v>
      </c>
      <c r="E10" s="26" t="n">
        <v>10</v>
      </c>
      <c r="F10" s="26" t="n">
        <v>60</v>
      </c>
      <c r="G10" s="7" t="s">
        <v>260</v>
      </c>
    </row>
    <row r="11" customFormat="false" ht="15" hidden="false" customHeight="false" outlineLevel="0" collapsed="false">
      <c r="A11" s="11" t="n">
        <v>7</v>
      </c>
      <c r="B11" s="5" t="s">
        <v>261</v>
      </c>
      <c r="C11" s="11" t="s">
        <v>86</v>
      </c>
      <c r="D11" s="25" t="n">
        <v>5</v>
      </c>
      <c r="E11" s="25" t="n">
        <v>10</v>
      </c>
      <c r="F11" s="25" t="n">
        <v>50</v>
      </c>
      <c r="G11" s="5" t="s">
        <v>118</v>
      </c>
    </row>
    <row r="12" customFormat="false" ht="15" hidden="false" customHeight="false" outlineLevel="0" collapsed="false">
      <c r="A12" s="12" t="n">
        <v>8</v>
      </c>
      <c r="B12" s="7" t="s">
        <v>262</v>
      </c>
      <c r="C12" s="12" t="s">
        <v>64</v>
      </c>
      <c r="D12" s="26" t="n">
        <v>1.5</v>
      </c>
      <c r="E12" s="26" t="n">
        <v>20</v>
      </c>
      <c r="F12" s="26" t="n">
        <v>30</v>
      </c>
      <c r="G12" s="7" t="s">
        <v>263</v>
      </c>
    </row>
    <row r="13" customFormat="false" ht="15" hidden="false" customHeight="false" outlineLevel="0" collapsed="false">
      <c r="A13" s="11" t="n">
        <v>9</v>
      </c>
      <c r="B13" s="5" t="s">
        <v>264</v>
      </c>
      <c r="C13" s="11" t="s">
        <v>64</v>
      </c>
      <c r="D13" s="25" t="n">
        <v>1.2</v>
      </c>
      <c r="E13" s="25" t="n">
        <v>22</v>
      </c>
      <c r="F13" s="25" t="n">
        <v>26</v>
      </c>
      <c r="G13" s="5" t="s">
        <v>265</v>
      </c>
    </row>
    <row r="14" customFormat="false" ht="15" hidden="false" customHeight="false" outlineLevel="0" collapsed="false">
      <c r="A14" s="12" t="n">
        <v>10</v>
      </c>
      <c r="B14" s="7" t="s">
        <v>266</v>
      </c>
      <c r="C14" s="12" t="s">
        <v>98</v>
      </c>
      <c r="D14" s="26" t="n">
        <v>3</v>
      </c>
      <c r="E14" s="26" t="n">
        <v>8</v>
      </c>
      <c r="F14" s="26" t="n">
        <v>24</v>
      </c>
      <c r="G14" s="7" t="s">
        <v>267</v>
      </c>
    </row>
    <row r="15" customFormat="false" ht="15" hidden="false" customHeight="false" outlineLevel="0" collapsed="false">
      <c r="A15" s="11" t="n">
        <v>11</v>
      </c>
      <c r="B15" s="5" t="s">
        <v>268</v>
      </c>
      <c r="C15" s="11" t="s">
        <v>101</v>
      </c>
      <c r="D15" s="25" t="n">
        <v>1</v>
      </c>
      <c r="E15" s="25" t="n">
        <v>12</v>
      </c>
      <c r="F15" s="25" t="n">
        <v>12</v>
      </c>
      <c r="G15" s="5" t="s">
        <v>269</v>
      </c>
    </row>
    <row r="16" customFormat="false" ht="15" hidden="false" customHeight="false" outlineLevel="0" collapsed="false">
      <c r="A16" s="12" t="n">
        <v>12</v>
      </c>
      <c r="B16" s="7" t="s">
        <v>270</v>
      </c>
      <c r="C16" s="12" t="s">
        <v>98</v>
      </c>
      <c r="D16" s="26" t="n">
        <v>80</v>
      </c>
      <c r="E16" s="26" t="n">
        <v>4</v>
      </c>
      <c r="F16" s="26" t="n">
        <v>320</v>
      </c>
      <c r="G16" s="7" t="s">
        <v>271</v>
      </c>
    </row>
    <row r="17" customFormat="false" ht="15" hidden="false" customHeight="false" outlineLevel="0" collapsed="false">
      <c r="A17" s="11" t="n">
        <v>13</v>
      </c>
      <c r="B17" s="5" t="s">
        <v>272</v>
      </c>
      <c r="C17" s="11" t="s">
        <v>101</v>
      </c>
      <c r="D17" s="25" t="n">
        <v>2</v>
      </c>
      <c r="E17" s="25" t="n">
        <v>6</v>
      </c>
      <c r="F17" s="25" t="n">
        <v>12</v>
      </c>
      <c r="G17" s="5" t="s">
        <v>273</v>
      </c>
    </row>
    <row r="18" customFormat="false" ht="15" hidden="false" customHeight="false" outlineLevel="0" collapsed="false">
      <c r="A18" s="12" t="n">
        <v>14</v>
      </c>
      <c r="B18" s="7" t="s">
        <v>274</v>
      </c>
      <c r="C18" s="12" t="s">
        <v>98</v>
      </c>
      <c r="D18" s="26" t="n">
        <v>15</v>
      </c>
      <c r="E18" s="26" t="n">
        <v>5</v>
      </c>
      <c r="F18" s="26" t="n">
        <v>75</v>
      </c>
      <c r="G18" s="7" t="s">
        <v>275</v>
      </c>
    </row>
    <row r="20" customFormat="false" ht="15" hidden="false" customHeight="false" outlineLevel="0" collapsed="false">
      <c r="A20" s="18" t="s">
        <v>276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customFormat="false" ht="32.8" hidden="false" customHeight="false" outlineLevel="0" collapsed="false">
      <c r="A21" s="9" t="s">
        <v>244</v>
      </c>
      <c r="B21" s="9" t="s">
        <v>277</v>
      </c>
      <c r="C21" s="9" t="s">
        <v>278</v>
      </c>
      <c r="D21" s="9" t="s">
        <v>54</v>
      </c>
      <c r="E21" s="9" t="s">
        <v>57</v>
      </c>
      <c r="F21" s="9" t="s">
        <v>279</v>
      </c>
      <c r="G21" s="9" t="s">
        <v>280</v>
      </c>
      <c r="H21" s="9" t="s">
        <v>281</v>
      </c>
      <c r="I21" s="9" t="s">
        <v>282</v>
      </c>
      <c r="J21" s="9" t="s">
        <v>59</v>
      </c>
    </row>
    <row r="22" customFormat="false" ht="22.35" hidden="false" customHeight="false" outlineLevel="0" collapsed="false">
      <c r="A22" s="11" t="n">
        <v>1</v>
      </c>
      <c r="B22" s="5" t="s">
        <v>283</v>
      </c>
      <c r="C22" s="5" t="s">
        <v>284</v>
      </c>
      <c r="D22" s="5" t="s">
        <v>285</v>
      </c>
      <c r="E22" s="11" t="s">
        <v>64</v>
      </c>
      <c r="F22" s="25" t="n">
        <v>80</v>
      </c>
      <c r="G22" s="25" t="n">
        <v>10</v>
      </c>
      <c r="H22" s="25" t="n">
        <v>800</v>
      </c>
      <c r="I22" s="25" t="n">
        <v>18</v>
      </c>
      <c r="J22" s="5" t="s">
        <v>286</v>
      </c>
    </row>
    <row r="23" customFormat="false" ht="22.35" hidden="false" customHeight="false" outlineLevel="0" collapsed="false">
      <c r="A23" s="12" t="n">
        <v>2</v>
      </c>
      <c r="B23" s="7" t="s">
        <v>283</v>
      </c>
      <c r="C23" s="7" t="s">
        <v>284</v>
      </c>
      <c r="D23" s="7" t="s">
        <v>287</v>
      </c>
      <c r="E23" s="12" t="s">
        <v>64</v>
      </c>
      <c r="F23" s="26" t="n">
        <v>30</v>
      </c>
      <c r="G23" s="26" t="n">
        <v>10</v>
      </c>
      <c r="H23" s="26" t="n">
        <v>300</v>
      </c>
      <c r="I23" s="26" t="n">
        <v>20</v>
      </c>
      <c r="J23" s="7" t="s">
        <v>288</v>
      </c>
    </row>
    <row r="24" customFormat="false" ht="15" hidden="false" customHeight="false" outlineLevel="0" collapsed="false">
      <c r="A24" s="11" t="n">
        <v>3</v>
      </c>
      <c r="B24" s="5" t="s">
        <v>289</v>
      </c>
      <c r="C24" s="5" t="s">
        <v>290</v>
      </c>
      <c r="D24" s="5" t="s">
        <v>291</v>
      </c>
      <c r="E24" s="11" t="s">
        <v>64</v>
      </c>
      <c r="F24" s="25" t="n">
        <v>15</v>
      </c>
      <c r="G24" s="25" t="n">
        <v>10</v>
      </c>
      <c r="H24" s="25" t="n">
        <v>150</v>
      </c>
      <c r="I24" s="25" t="n">
        <v>8</v>
      </c>
      <c r="J24" s="5" t="s">
        <v>292</v>
      </c>
    </row>
    <row r="25" customFormat="false" ht="15" hidden="false" customHeight="false" outlineLevel="0" collapsed="false">
      <c r="A25" s="12" t="n">
        <v>4</v>
      </c>
      <c r="B25" s="7" t="s">
        <v>139</v>
      </c>
      <c r="C25" s="7" t="s">
        <v>293</v>
      </c>
      <c r="D25" s="7" t="s">
        <v>294</v>
      </c>
      <c r="E25" s="12" t="s">
        <v>295</v>
      </c>
      <c r="F25" s="26" t="n">
        <v>1200</v>
      </c>
      <c r="G25" s="26" t="n">
        <v>9</v>
      </c>
      <c r="H25" s="26" t="n">
        <v>10800</v>
      </c>
      <c r="I25" s="26" t="n">
        <v>14</v>
      </c>
      <c r="J25" s="7" t="s">
        <v>296</v>
      </c>
    </row>
    <row r="26" customFormat="false" ht="15" hidden="false" customHeight="false" outlineLevel="0" collapsed="false">
      <c r="A26" s="11" t="n">
        <v>5</v>
      </c>
      <c r="B26" s="5" t="s">
        <v>297</v>
      </c>
      <c r="C26" s="5" t="s">
        <v>298</v>
      </c>
      <c r="D26" s="5" t="s">
        <v>299</v>
      </c>
      <c r="E26" s="11" t="s">
        <v>295</v>
      </c>
      <c r="F26" s="25" t="n">
        <v>900</v>
      </c>
      <c r="G26" s="25" t="n">
        <v>9</v>
      </c>
      <c r="H26" s="25" t="n">
        <v>8100</v>
      </c>
      <c r="I26" s="25" t="n">
        <v>12</v>
      </c>
      <c r="J26" s="5" t="s">
        <v>300</v>
      </c>
    </row>
    <row r="27" customFormat="false" ht="15" hidden="false" customHeight="false" outlineLevel="0" collapsed="false">
      <c r="A27" s="12" t="n">
        <v>6</v>
      </c>
      <c r="B27" s="7" t="s">
        <v>297</v>
      </c>
      <c r="C27" s="7" t="s">
        <v>298</v>
      </c>
      <c r="D27" s="7" t="s">
        <v>301</v>
      </c>
      <c r="E27" s="12" t="s">
        <v>295</v>
      </c>
      <c r="F27" s="26" t="n">
        <v>1000</v>
      </c>
      <c r="G27" s="26" t="n">
        <v>9</v>
      </c>
      <c r="H27" s="26" t="n">
        <v>9000</v>
      </c>
      <c r="I27" s="26" t="n">
        <v>12</v>
      </c>
      <c r="J27" s="7" t="s">
        <v>302</v>
      </c>
    </row>
    <row r="28" customFormat="false" ht="15" hidden="false" customHeight="false" outlineLevel="0" collapsed="false">
      <c r="A28" s="11" t="n">
        <v>7</v>
      </c>
      <c r="B28" s="5" t="s">
        <v>153</v>
      </c>
      <c r="C28" s="5" t="s">
        <v>303</v>
      </c>
      <c r="D28" s="5" t="s">
        <v>304</v>
      </c>
      <c r="E28" s="11" t="s">
        <v>295</v>
      </c>
      <c r="F28" s="25" t="n">
        <v>1100</v>
      </c>
      <c r="G28" s="25" t="n">
        <v>9</v>
      </c>
      <c r="H28" s="25" t="n">
        <v>9900</v>
      </c>
      <c r="I28" s="25" t="n">
        <v>10</v>
      </c>
      <c r="J28" s="5" t="s">
        <v>305</v>
      </c>
    </row>
    <row r="29" customFormat="false" ht="15" hidden="false" customHeight="false" outlineLevel="0" collapsed="false">
      <c r="A29" s="12" t="n">
        <v>8</v>
      </c>
      <c r="B29" s="7" t="s">
        <v>144</v>
      </c>
      <c r="C29" s="7" t="s">
        <v>306</v>
      </c>
      <c r="D29" s="7" t="s">
        <v>307</v>
      </c>
      <c r="E29" s="12" t="s">
        <v>86</v>
      </c>
      <c r="F29" s="26" t="n">
        <v>55</v>
      </c>
      <c r="G29" s="26" t="n">
        <v>9</v>
      </c>
      <c r="H29" s="26" t="n">
        <v>495</v>
      </c>
      <c r="I29" s="26" t="n">
        <v>35</v>
      </c>
      <c r="J29" s="7" t="s">
        <v>308</v>
      </c>
    </row>
    <row r="30" customFormat="false" ht="15" hidden="false" customHeight="false" outlineLevel="0" collapsed="false">
      <c r="A30" s="11" t="n">
        <v>9</v>
      </c>
      <c r="B30" s="5" t="s">
        <v>142</v>
      </c>
      <c r="C30" s="5" t="s">
        <v>309</v>
      </c>
      <c r="D30" s="5" t="s">
        <v>310</v>
      </c>
      <c r="E30" s="11" t="s">
        <v>295</v>
      </c>
      <c r="F30" s="25" t="n">
        <v>500</v>
      </c>
      <c r="G30" s="25" t="n">
        <v>9</v>
      </c>
      <c r="H30" s="25" t="n">
        <v>4500</v>
      </c>
      <c r="I30" s="25" t="n">
        <v>14</v>
      </c>
      <c r="J30" s="5" t="s">
        <v>161</v>
      </c>
    </row>
    <row r="31" customFormat="false" ht="15" hidden="false" customHeight="false" outlineLevel="0" collapsed="false">
      <c r="A31" s="12" t="n">
        <v>10</v>
      </c>
      <c r="B31" s="7" t="s">
        <v>311</v>
      </c>
      <c r="C31" s="7" t="s">
        <v>306</v>
      </c>
      <c r="D31" s="7" t="s">
        <v>312</v>
      </c>
      <c r="E31" s="12" t="s">
        <v>86</v>
      </c>
      <c r="F31" s="26" t="n">
        <v>55</v>
      </c>
      <c r="G31" s="26" t="n">
        <v>10</v>
      </c>
      <c r="H31" s="26" t="n">
        <v>550</v>
      </c>
      <c r="I31" s="26" t="n">
        <v>40</v>
      </c>
      <c r="J31" s="7" t="s">
        <v>313</v>
      </c>
    </row>
    <row r="32" customFormat="false" ht="15" hidden="false" customHeight="false" outlineLevel="0" collapsed="false">
      <c r="A32" s="11" t="n">
        <v>11</v>
      </c>
      <c r="B32" s="5" t="s">
        <v>314</v>
      </c>
      <c r="C32" s="5" t="s">
        <v>315</v>
      </c>
      <c r="D32" s="5" t="s">
        <v>316</v>
      </c>
      <c r="E32" s="11" t="s">
        <v>86</v>
      </c>
      <c r="F32" s="25" t="n">
        <v>60</v>
      </c>
      <c r="G32" s="25" t="n">
        <v>10</v>
      </c>
      <c r="H32" s="25" t="n">
        <v>600</v>
      </c>
      <c r="I32" s="25" t="n">
        <v>18</v>
      </c>
      <c r="J32" s="5" t="s">
        <v>317</v>
      </c>
    </row>
    <row r="33" customFormat="false" ht="15" hidden="false" customHeight="false" outlineLevel="0" collapsed="false">
      <c r="A33" s="12" t="n">
        <v>12</v>
      </c>
      <c r="B33" s="7" t="s">
        <v>318</v>
      </c>
      <c r="C33" s="7" t="s">
        <v>319</v>
      </c>
      <c r="D33" s="7" t="s">
        <v>320</v>
      </c>
      <c r="E33" s="12" t="s">
        <v>64</v>
      </c>
      <c r="F33" s="26" t="n">
        <v>25</v>
      </c>
      <c r="G33" s="26" t="n">
        <v>8</v>
      </c>
      <c r="H33" s="26" t="n">
        <v>200</v>
      </c>
      <c r="I33" s="26" t="n">
        <v>28</v>
      </c>
      <c r="J33" s="7" t="s">
        <v>321</v>
      </c>
    </row>
    <row r="34" customFormat="false" ht="15" hidden="false" customHeight="false" outlineLevel="0" collapsed="false">
      <c r="A34" s="11" t="n">
        <v>13</v>
      </c>
      <c r="B34" s="5" t="s">
        <v>322</v>
      </c>
      <c r="C34" s="5" t="s">
        <v>323</v>
      </c>
      <c r="D34" s="5" t="s">
        <v>324</v>
      </c>
      <c r="E34" s="11" t="s">
        <v>64</v>
      </c>
      <c r="F34" s="25" t="n">
        <v>18</v>
      </c>
      <c r="G34" s="25" t="n">
        <v>8</v>
      </c>
      <c r="H34" s="25" t="n">
        <v>144</v>
      </c>
      <c r="I34" s="25" t="n">
        <v>7</v>
      </c>
      <c r="J34" s="5" t="s">
        <v>292</v>
      </c>
    </row>
    <row r="35" customFormat="false" ht="15" hidden="false" customHeight="false" outlineLevel="0" collapsed="false">
      <c r="A35" s="12" t="n">
        <v>14</v>
      </c>
      <c r="B35" s="7" t="s">
        <v>325</v>
      </c>
      <c r="C35" s="7" t="s">
        <v>326</v>
      </c>
      <c r="D35" s="7" t="s">
        <v>327</v>
      </c>
      <c r="E35" s="12" t="s">
        <v>64</v>
      </c>
      <c r="F35" s="26" t="n">
        <v>60</v>
      </c>
      <c r="G35" s="26" t="n">
        <v>9</v>
      </c>
      <c r="H35" s="26" t="n">
        <v>540</v>
      </c>
      <c r="I35" s="26" t="n">
        <v>16</v>
      </c>
      <c r="J35" s="7" t="s">
        <v>328</v>
      </c>
    </row>
    <row r="36" customFormat="false" ht="15" hidden="false" customHeight="false" outlineLevel="0" collapsed="false">
      <c r="A36" s="11" t="n">
        <v>15</v>
      </c>
      <c r="B36" s="5" t="s">
        <v>329</v>
      </c>
      <c r="C36" s="5" t="s">
        <v>330</v>
      </c>
      <c r="D36" s="5" t="s">
        <v>331</v>
      </c>
      <c r="E36" s="11" t="s">
        <v>101</v>
      </c>
      <c r="F36" s="25" t="n">
        <v>4</v>
      </c>
      <c r="G36" s="25" t="n">
        <v>8</v>
      </c>
      <c r="H36" s="25" t="n">
        <v>32</v>
      </c>
      <c r="I36" s="25" t="n">
        <v>22</v>
      </c>
      <c r="J36" s="5" t="s">
        <v>332</v>
      </c>
    </row>
    <row r="38" customFormat="false" ht="15" hidden="false" customHeight="false" outlineLevel="0" collapsed="false">
      <c r="A38" s="18" t="s">
        <v>333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customFormat="false" ht="23.85" hidden="false" customHeight="false" outlineLevel="0" collapsed="false">
      <c r="A39" s="19" t="s">
        <v>120</v>
      </c>
      <c r="B39" s="19" t="s">
        <v>334</v>
      </c>
      <c r="C39" s="19" t="s">
        <v>335</v>
      </c>
      <c r="D39" s="19" t="s">
        <v>336</v>
      </c>
      <c r="E39" s="19" t="s">
        <v>337</v>
      </c>
      <c r="F39" s="19" t="s">
        <v>338</v>
      </c>
      <c r="G39" s="19" t="s">
        <v>339</v>
      </c>
      <c r="H39" s="19" t="s">
        <v>340</v>
      </c>
      <c r="I39" s="19" t="s">
        <v>59</v>
      </c>
    </row>
    <row r="40" customFormat="false" ht="15" hidden="false" customHeight="false" outlineLevel="0" collapsed="false">
      <c r="A40" s="5" t="s">
        <v>126</v>
      </c>
      <c r="B40" s="5" t="s">
        <v>127</v>
      </c>
      <c r="C40" s="20" t="n">
        <v>40</v>
      </c>
      <c r="D40" s="20" t="n">
        <v>38</v>
      </c>
      <c r="E40" s="20" t="n">
        <v>37</v>
      </c>
      <c r="F40" s="20" t="n">
        <v>39</v>
      </c>
      <c r="G40" s="27" t="n">
        <f aca="false">D40+E40+F40</f>
        <v>114</v>
      </c>
      <c r="H40" s="28" t="n">
        <f aca="false">G40/(C40*15)</f>
        <v>0.19</v>
      </c>
      <c r="I40" s="5" t="s">
        <v>341</v>
      </c>
    </row>
    <row r="41" customFormat="false" ht="15" hidden="false" customHeight="false" outlineLevel="0" collapsed="false">
      <c r="A41" s="7" t="s">
        <v>126</v>
      </c>
      <c r="B41" s="7" t="s">
        <v>146</v>
      </c>
      <c r="C41" s="21" t="n">
        <v>8</v>
      </c>
      <c r="D41" s="21" t="n">
        <v>7</v>
      </c>
      <c r="E41" s="21" t="n">
        <v>8</v>
      </c>
      <c r="F41" s="21" t="n">
        <v>8</v>
      </c>
      <c r="G41" s="29" t="n">
        <f aca="false">D41+E41+F41</f>
        <v>23</v>
      </c>
      <c r="H41" s="30" t="n">
        <f aca="false">G41/(C41*15)</f>
        <v>0.191666666666667</v>
      </c>
      <c r="I41" s="7" t="s">
        <v>342</v>
      </c>
    </row>
    <row r="42" customFormat="false" ht="15" hidden="false" customHeight="false" outlineLevel="0" collapsed="false">
      <c r="A42" s="5" t="s">
        <v>126</v>
      </c>
      <c r="B42" s="5" t="s">
        <v>343</v>
      </c>
      <c r="C42" s="20" t="n">
        <v>3</v>
      </c>
      <c r="D42" s="20" t="n">
        <v>3</v>
      </c>
      <c r="E42" s="20" t="n">
        <v>3</v>
      </c>
      <c r="F42" s="20" t="n">
        <v>3</v>
      </c>
      <c r="G42" s="27" t="n">
        <f aca="false">D42+E42+F42</f>
        <v>9</v>
      </c>
      <c r="H42" s="28" t="n">
        <f aca="false">G42/(C42*15)</f>
        <v>0.2</v>
      </c>
      <c r="I42" s="5" t="s">
        <v>344</v>
      </c>
    </row>
    <row r="43" customFormat="false" ht="15" hidden="false" customHeight="false" outlineLevel="0" collapsed="false">
      <c r="A43" s="7" t="s">
        <v>126</v>
      </c>
      <c r="B43" s="7" t="s">
        <v>345</v>
      </c>
      <c r="C43" s="21" t="n">
        <v>4</v>
      </c>
      <c r="D43" s="21" t="n">
        <v>4</v>
      </c>
      <c r="E43" s="21" t="n">
        <v>4</v>
      </c>
      <c r="F43" s="21" t="n">
        <v>4</v>
      </c>
      <c r="G43" s="29" t="n">
        <f aca="false">D43+E43+F43</f>
        <v>12</v>
      </c>
      <c r="H43" s="30" t="n">
        <f aca="false">G43/(C43*15)</f>
        <v>0.2</v>
      </c>
      <c r="I43" s="7" t="s">
        <v>344</v>
      </c>
    </row>
    <row r="44" customFormat="false" ht="15" hidden="false" customHeight="false" outlineLevel="0" collapsed="false">
      <c r="A44" s="5" t="s">
        <v>131</v>
      </c>
      <c r="B44" s="5" t="s">
        <v>346</v>
      </c>
      <c r="C44" s="20" t="n">
        <v>4</v>
      </c>
      <c r="D44" s="20" t="n">
        <v>4</v>
      </c>
      <c r="E44" s="20" t="n">
        <v>3</v>
      </c>
      <c r="F44" s="20" t="n">
        <v>4</v>
      </c>
      <c r="G44" s="27" t="n">
        <f aca="false">D44+E44+F44</f>
        <v>11</v>
      </c>
      <c r="H44" s="28" t="n">
        <f aca="false">G44/(C44*15)</f>
        <v>0.183333333333333</v>
      </c>
      <c r="I44" s="5" t="s">
        <v>347</v>
      </c>
    </row>
    <row r="45" customFormat="false" ht="15" hidden="false" customHeight="false" outlineLevel="0" collapsed="false">
      <c r="A45" s="7" t="s">
        <v>131</v>
      </c>
      <c r="B45" s="7" t="s">
        <v>348</v>
      </c>
      <c r="C45" s="21" t="n">
        <v>12</v>
      </c>
      <c r="D45" s="21" t="n">
        <v>11</v>
      </c>
      <c r="E45" s="21" t="n">
        <v>12</v>
      </c>
      <c r="F45" s="21" t="n">
        <v>12</v>
      </c>
      <c r="G45" s="29" t="n">
        <f aca="false">D45+E45+F45</f>
        <v>35</v>
      </c>
      <c r="H45" s="30" t="n">
        <f aca="false">G45/(C45*15)</f>
        <v>0.194444444444444</v>
      </c>
      <c r="I45" s="7" t="s">
        <v>349</v>
      </c>
    </row>
    <row r="46" customFormat="false" ht="15" hidden="false" customHeight="false" outlineLevel="0" collapsed="false">
      <c r="A46" s="5" t="s">
        <v>131</v>
      </c>
      <c r="B46" s="5" t="s">
        <v>139</v>
      </c>
      <c r="C46" s="20" t="n">
        <v>2</v>
      </c>
      <c r="D46" s="20" t="n">
        <v>2</v>
      </c>
      <c r="E46" s="20" t="n">
        <v>2</v>
      </c>
      <c r="F46" s="20" t="n">
        <v>2</v>
      </c>
      <c r="G46" s="27" t="n">
        <f aca="false">D46+E46+F46</f>
        <v>6</v>
      </c>
      <c r="H46" s="28" t="n">
        <f aca="false">G46/(C46*15)</f>
        <v>0.2</v>
      </c>
      <c r="I46" s="5" t="s">
        <v>350</v>
      </c>
    </row>
    <row r="47" customFormat="false" ht="15" hidden="false" customHeight="false" outlineLevel="0" collapsed="false">
      <c r="A47" s="7" t="s">
        <v>131</v>
      </c>
      <c r="B47" s="7" t="s">
        <v>297</v>
      </c>
      <c r="C47" s="21" t="n">
        <v>3</v>
      </c>
      <c r="D47" s="21" t="n">
        <v>3</v>
      </c>
      <c r="E47" s="21" t="n">
        <v>3</v>
      </c>
      <c r="F47" s="21" t="n">
        <v>3</v>
      </c>
      <c r="G47" s="29" t="n">
        <f aca="false">D47+E47+F47</f>
        <v>9</v>
      </c>
      <c r="H47" s="30" t="n">
        <f aca="false">G47/(C47*15)</f>
        <v>0.2</v>
      </c>
      <c r="I47" s="7" t="s">
        <v>351</v>
      </c>
    </row>
    <row r="48" customFormat="false" ht="15" hidden="false" customHeight="false" outlineLevel="0" collapsed="false">
      <c r="A48" s="5" t="s">
        <v>131</v>
      </c>
      <c r="B48" s="5" t="s">
        <v>142</v>
      </c>
      <c r="C48" s="20" t="n">
        <v>1</v>
      </c>
      <c r="D48" s="20" t="n">
        <v>1</v>
      </c>
      <c r="E48" s="20" t="n">
        <v>1</v>
      </c>
      <c r="F48" s="20" t="n">
        <v>1</v>
      </c>
      <c r="G48" s="27" t="n">
        <f aca="false">D48+E48+F48</f>
        <v>3</v>
      </c>
      <c r="H48" s="28" t="n">
        <f aca="false">G48/(C48*15)</f>
        <v>0.2</v>
      </c>
      <c r="I48" s="5" t="s">
        <v>352</v>
      </c>
    </row>
    <row r="49" customFormat="false" ht="15" hidden="false" customHeight="false" outlineLevel="0" collapsed="false">
      <c r="A49" s="7" t="s">
        <v>131</v>
      </c>
      <c r="B49" s="7" t="s">
        <v>311</v>
      </c>
      <c r="C49" s="21" t="n">
        <v>1</v>
      </c>
      <c r="D49" s="21" t="n">
        <v>1</v>
      </c>
      <c r="E49" s="21" t="n">
        <v>1</v>
      </c>
      <c r="F49" s="21" t="n">
        <v>1</v>
      </c>
      <c r="G49" s="29" t="n">
        <f aca="false">D49+E49+F49</f>
        <v>3</v>
      </c>
      <c r="H49" s="30" t="n">
        <f aca="false">G49/(C49*15)</f>
        <v>0.2</v>
      </c>
      <c r="I49" s="7" t="s">
        <v>353</v>
      </c>
    </row>
    <row r="50" customFormat="false" ht="15" hidden="false" customHeight="false" outlineLevel="0" collapsed="false">
      <c r="A50" s="5" t="s">
        <v>131</v>
      </c>
      <c r="B50" s="5" t="s">
        <v>318</v>
      </c>
      <c r="C50" s="20" t="n">
        <v>1</v>
      </c>
      <c r="D50" s="20" t="n">
        <v>0</v>
      </c>
      <c r="E50" s="20" t="n">
        <v>1</v>
      </c>
      <c r="F50" s="20" t="n">
        <v>1</v>
      </c>
      <c r="G50" s="27" t="n">
        <f aca="false">D50+E50+F50</f>
        <v>2</v>
      </c>
      <c r="H50" s="28" t="n">
        <f aca="false">G50/(C50*15)</f>
        <v>0.133333333333333</v>
      </c>
      <c r="I50" s="5" t="s">
        <v>354</v>
      </c>
    </row>
    <row r="51" customFormat="false" ht="15" hidden="false" customHeight="false" outlineLevel="0" collapsed="false">
      <c r="A51" s="7" t="s">
        <v>131</v>
      </c>
      <c r="B51" s="7" t="s">
        <v>322</v>
      </c>
      <c r="C51" s="21" t="n">
        <v>3</v>
      </c>
      <c r="D51" s="21" t="n">
        <v>0</v>
      </c>
      <c r="E51" s="21" t="n">
        <v>3</v>
      </c>
      <c r="F51" s="21" t="n">
        <v>3</v>
      </c>
      <c r="G51" s="29" t="n">
        <f aca="false">D51+E51+F51</f>
        <v>6</v>
      </c>
      <c r="H51" s="30" t="n">
        <f aca="false">G51/(C51*15)</f>
        <v>0.133333333333333</v>
      </c>
      <c r="I51" s="7" t="s">
        <v>355</v>
      </c>
    </row>
    <row r="52" customFormat="false" ht="15" hidden="false" customHeight="false" outlineLevel="0" collapsed="false">
      <c r="A52" s="5" t="s">
        <v>356</v>
      </c>
      <c r="B52" s="5" t="s">
        <v>357</v>
      </c>
      <c r="C52" s="20" t="n">
        <v>200</v>
      </c>
      <c r="D52" s="20" t="n">
        <v>85</v>
      </c>
      <c r="E52" s="20" t="n">
        <v>90</v>
      </c>
      <c r="F52" s="20" t="n">
        <v>0</v>
      </c>
      <c r="G52" s="27" t="n">
        <f aca="false">D52+E52+F52</f>
        <v>175</v>
      </c>
      <c r="H52" s="28" t="n">
        <f aca="false">G52/(C52*15)</f>
        <v>0.0583333333333333</v>
      </c>
      <c r="I52" s="5" t="s">
        <v>358</v>
      </c>
    </row>
    <row r="53" customFormat="false" ht="15" hidden="false" customHeight="false" outlineLevel="0" collapsed="false">
      <c r="A53" s="7" t="s">
        <v>356</v>
      </c>
      <c r="B53" s="7" t="s">
        <v>359</v>
      </c>
      <c r="C53" s="21" t="n">
        <v>500</v>
      </c>
      <c r="D53" s="21" t="n">
        <v>180</v>
      </c>
      <c r="E53" s="21" t="n">
        <v>190</v>
      </c>
      <c r="F53" s="21" t="n">
        <v>0</v>
      </c>
      <c r="G53" s="29" t="n">
        <f aca="false">D53+E53+F53</f>
        <v>370</v>
      </c>
      <c r="H53" s="30" t="n">
        <f aca="false">G53/(C53*15)</f>
        <v>0.0493333333333333</v>
      </c>
      <c r="I53" s="7" t="s">
        <v>360</v>
      </c>
    </row>
    <row r="54" customFormat="false" ht="15" hidden="false" customHeight="false" outlineLevel="0" collapsed="false">
      <c r="A54" s="5" t="s">
        <v>356</v>
      </c>
      <c r="B54" s="5" t="s">
        <v>361</v>
      </c>
      <c r="C54" s="20" t="n">
        <v>2000</v>
      </c>
      <c r="D54" s="20" t="n">
        <v>0</v>
      </c>
      <c r="E54" s="20" t="n">
        <v>800</v>
      </c>
      <c r="F54" s="20" t="n">
        <v>0</v>
      </c>
      <c r="G54" s="27" t="n">
        <f aca="false">D54+E54+F54</f>
        <v>800</v>
      </c>
      <c r="H54" s="28" t="n">
        <f aca="false">G54/(C54*15)</f>
        <v>0.0266666666666667</v>
      </c>
      <c r="I54" s="5" t="s">
        <v>362</v>
      </c>
    </row>
  </sheetData>
  <mergeCells count="4">
    <mergeCell ref="A1:N1"/>
    <mergeCell ref="A3:N3"/>
    <mergeCell ref="A20:N20"/>
    <mergeCell ref="A38:N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8" min="5" style="0" width="1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6" t="s">
        <v>363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customFormat="false" ht="15" hidden="false" customHeight="false" outlineLevel="0" collapsed="false">
      <c r="A2" s="17" t="s">
        <v>364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4" customFormat="false" ht="15" hidden="false" customHeight="false" outlineLevel="0" collapsed="false">
      <c r="A4" s="18" t="s">
        <v>365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customFormat="false" ht="23.85" hidden="false" customHeight="false" outlineLevel="0" collapsed="false">
      <c r="A5" s="19" t="s">
        <v>244</v>
      </c>
      <c r="B5" s="19" t="s">
        <v>366</v>
      </c>
      <c r="C5" s="19" t="s">
        <v>121</v>
      </c>
      <c r="D5" s="19" t="s">
        <v>57</v>
      </c>
      <c r="E5" s="19" t="s">
        <v>367</v>
      </c>
      <c r="F5" s="19" t="s">
        <v>368</v>
      </c>
      <c r="G5" s="19" t="s">
        <v>369</v>
      </c>
      <c r="H5" s="19" t="s">
        <v>370</v>
      </c>
      <c r="I5" s="19" t="s">
        <v>59</v>
      </c>
    </row>
    <row r="6" customFormat="false" ht="15" hidden="false" customHeight="false" outlineLevel="0" collapsed="false">
      <c r="A6" s="11" t="n">
        <v>1</v>
      </c>
      <c r="B6" s="5" t="s">
        <v>131</v>
      </c>
      <c r="C6" s="5" t="s">
        <v>132</v>
      </c>
      <c r="D6" s="11" t="s">
        <v>371</v>
      </c>
      <c r="E6" s="20" t="n">
        <v>1800</v>
      </c>
      <c r="F6" s="20" t="n">
        <v>1850</v>
      </c>
      <c r="G6" s="27" t="n">
        <f aca="false">F6-E6</f>
        <v>50</v>
      </c>
      <c r="H6" s="28" t="n">
        <f aca="false">IF(E6&lt;&gt;0,(F6-E6)/E6,0)</f>
        <v>0.0277777777777778</v>
      </c>
      <c r="I6" s="5" t="s">
        <v>372</v>
      </c>
    </row>
    <row r="7" customFormat="false" ht="15" hidden="false" customHeight="false" outlineLevel="0" collapsed="false">
      <c r="A7" s="12" t="n">
        <v>2</v>
      </c>
      <c r="B7" s="7" t="s">
        <v>131</v>
      </c>
      <c r="C7" s="7" t="s">
        <v>348</v>
      </c>
      <c r="D7" s="12" t="s">
        <v>371</v>
      </c>
      <c r="E7" s="21" t="n">
        <v>900</v>
      </c>
      <c r="F7" s="21" t="n">
        <v>880</v>
      </c>
      <c r="G7" s="29" t="n">
        <f aca="false">F7-E7</f>
        <v>-20</v>
      </c>
      <c r="H7" s="30" t="n">
        <f aca="false">IF(E7&lt;&gt;0,(F7-E7)/E7,0)</f>
        <v>-0.0222222222222222</v>
      </c>
      <c r="I7" s="7" t="s">
        <v>373</v>
      </c>
    </row>
    <row r="8" customFormat="false" ht="15" hidden="false" customHeight="false" outlineLevel="0" collapsed="false">
      <c r="A8" s="11" t="n">
        <v>3</v>
      </c>
      <c r="B8" s="5" t="s">
        <v>131</v>
      </c>
      <c r="C8" s="5" t="s">
        <v>374</v>
      </c>
      <c r="D8" s="11" t="s">
        <v>371</v>
      </c>
      <c r="E8" s="20" t="n">
        <v>2200</v>
      </c>
      <c r="F8" s="20" t="n">
        <v>2250</v>
      </c>
      <c r="G8" s="27" t="n">
        <f aca="false">F8-E8</f>
        <v>50</v>
      </c>
      <c r="H8" s="28" t="n">
        <f aca="false">IF(E8&lt;&gt;0,(F8-E8)/E8,0)</f>
        <v>0.0227272727272727</v>
      </c>
      <c r="I8" s="5" t="s">
        <v>372</v>
      </c>
    </row>
    <row r="9" customFormat="false" ht="15" hidden="false" customHeight="false" outlineLevel="0" collapsed="false">
      <c r="A9" s="12" t="n">
        <v>4</v>
      </c>
      <c r="B9" s="7" t="s">
        <v>131</v>
      </c>
      <c r="C9" s="7" t="s">
        <v>375</v>
      </c>
      <c r="D9" s="12" t="s">
        <v>371</v>
      </c>
      <c r="E9" s="21" t="n">
        <v>1600</v>
      </c>
      <c r="F9" s="21" t="n">
        <v>1580</v>
      </c>
      <c r="G9" s="29" t="n">
        <f aca="false">F9-E9</f>
        <v>-20</v>
      </c>
      <c r="H9" s="30" t="n">
        <f aca="false">IF(E9&lt;&gt;0,(F9-E9)/E9,0)</f>
        <v>-0.0125</v>
      </c>
      <c r="I9" s="7" t="s">
        <v>373</v>
      </c>
    </row>
    <row r="10" customFormat="false" ht="15" hidden="false" customHeight="false" outlineLevel="0" collapsed="false">
      <c r="A10" s="11" t="n">
        <v>5</v>
      </c>
      <c r="B10" s="5" t="s">
        <v>131</v>
      </c>
      <c r="C10" s="5" t="s">
        <v>376</v>
      </c>
      <c r="D10" s="11" t="s">
        <v>371</v>
      </c>
      <c r="E10" s="20" t="n">
        <v>3500</v>
      </c>
      <c r="F10" s="20" t="n">
        <v>3600</v>
      </c>
      <c r="G10" s="27" t="n">
        <f aca="false">F10-E10</f>
        <v>100</v>
      </c>
      <c r="H10" s="28" t="n">
        <f aca="false">IF(E10&lt;&gt;0,(F10-E10)/E10,0)</f>
        <v>0.0285714285714286</v>
      </c>
      <c r="I10" s="5" t="s">
        <v>372</v>
      </c>
    </row>
    <row r="11" customFormat="false" ht="15" hidden="false" customHeight="false" outlineLevel="0" collapsed="false">
      <c r="A11" s="12" t="n">
        <v>6</v>
      </c>
      <c r="B11" s="7" t="s">
        <v>131</v>
      </c>
      <c r="C11" s="7" t="s">
        <v>377</v>
      </c>
      <c r="D11" s="12" t="s">
        <v>371</v>
      </c>
      <c r="E11" s="21" t="n">
        <v>4200</v>
      </c>
      <c r="F11" s="21" t="n">
        <v>4150</v>
      </c>
      <c r="G11" s="29" t="n">
        <f aca="false">F11-E11</f>
        <v>-50</v>
      </c>
      <c r="H11" s="30" t="n">
        <f aca="false">IF(E11&lt;&gt;0,(F11-E11)/E11,0)</f>
        <v>-0.0119047619047619</v>
      </c>
      <c r="I11" s="7" t="s">
        <v>373</v>
      </c>
    </row>
    <row r="12" customFormat="false" ht="15" hidden="false" customHeight="false" outlineLevel="0" collapsed="false">
      <c r="A12" s="11" t="n">
        <v>7</v>
      </c>
      <c r="B12" s="5" t="s">
        <v>131</v>
      </c>
      <c r="C12" s="5" t="s">
        <v>318</v>
      </c>
      <c r="D12" s="11" t="s">
        <v>371</v>
      </c>
      <c r="E12" s="20" t="n">
        <v>3000</v>
      </c>
      <c r="F12" s="20" t="n">
        <v>3050</v>
      </c>
      <c r="G12" s="27" t="n">
        <f aca="false">F12-E12</f>
        <v>50</v>
      </c>
      <c r="H12" s="28" t="n">
        <f aca="false">IF(E12&lt;&gt;0,(F12-E12)/E12,0)</f>
        <v>0.0166666666666667</v>
      </c>
      <c r="I12" s="5" t="s">
        <v>372</v>
      </c>
    </row>
    <row r="13" customFormat="false" ht="15" hidden="false" customHeight="false" outlineLevel="0" collapsed="false">
      <c r="A13" s="12" t="n">
        <v>8</v>
      </c>
      <c r="B13" s="7" t="s">
        <v>126</v>
      </c>
      <c r="C13" s="7" t="s">
        <v>378</v>
      </c>
      <c r="D13" s="12" t="s">
        <v>379</v>
      </c>
      <c r="E13" s="21" t="n">
        <v>450</v>
      </c>
      <c r="F13" s="21" t="n">
        <v>470</v>
      </c>
      <c r="G13" s="29" t="n">
        <f aca="false">F13-E13</f>
        <v>20</v>
      </c>
      <c r="H13" s="30" t="n">
        <f aca="false">IF(E13&lt;&gt;0,(F13-E13)/E13,0)</f>
        <v>0.0444444444444444</v>
      </c>
      <c r="I13" s="7" t="s">
        <v>372</v>
      </c>
    </row>
    <row r="14" customFormat="false" ht="15" hidden="false" customHeight="false" outlineLevel="0" collapsed="false">
      <c r="A14" s="11" t="n">
        <v>9</v>
      </c>
      <c r="B14" s="5" t="s">
        <v>126</v>
      </c>
      <c r="C14" s="5" t="s">
        <v>380</v>
      </c>
      <c r="D14" s="11" t="s">
        <v>379</v>
      </c>
      <c r="E14" s="20" t="n">
        <v>750</v>
      </c>
      <c r="F14" s="20" t="n">
        <v>760</v>
      </c>
      <c r="G14" s="27" t="n">
        <f aca="false">F14-E14</f>
        <v>10</v>
      </c>
      <c r="H14" s="28" t="n">
        <f aca="false">IF(E14&lt;&gt;0,(F14-E14)/E14,0)</f>
        <v>0.0133333333333333</v>
      </c>
      <c r="I14" s="5" t="s">
        <v>372</v>
      </c>
    </row>
    <row r="15" customFormat="false" ht="15" hidden="false" customHeight="false" outlineLevel="0" collapsed="false">
      <c r="A15" s="12" t="n">
        <v>10</v>
      </c>
      <c r="B15" s="7" t="s">
        <v>126</v>
      </c>
      <c r="C15" s="7" t="s">
        <v>381</v>
      </c>
      <c r="D15" s="12" t="s">
        <v>379</v>
      </c>
      <c r="E15" s="21" t="n">
        <v>900</v>
      </c>
      <c r="F15" s="21" t="n">
        <v>920</v>
      </c>
      <c r="G15" s="29" t="n">
        <f aca="false">F15-E15</f>
        <v>20</v>
      </c>
      <c r="H15" s="30" t="n">
        <f aca="false">IF(E15&lt;&gt;0,(F15-E15)/E15,0)</f>
        <v>0.0222222222222222</v>
      </c>
      <c r="I15" s="7" t="s">
        <v>372</v>
      </c>
    </row>
    <row r="16" customFormat="false" ht="15" hidden="false" customHeight="false" outlineLevel="0" collapsed="false">
      <c r="A16" s="11" t="n">
        <v>11</v>
      </c>
      <c r="B16" s="5" t="s">
        <v>126</v>
      </c>
      <c r="C16" s="5" t="s">
        <v>229</v>
      </c>
      <c r="D16" s="11" t="s">
        <v>379</v>
      </c>
      <c r="E16" s="20" t="n">
        <v>1800</v>
      </c>
      <c r="F16" s="20" t="n">
        <v>1800</v>
      </c>
      <c r="G16" s="27" t="n">
        <f aca="false">F16-E16</f>
        <v>0</v>
      </c>
      <c r="H16" s="28" t="n">
        <f aca="false">IF(E16&lt;&gt;0,(F16-E16)/E16,0)</f>
        <v>0</v>
      </c>
      <c r="I16" s="5" t="s">
        <v>382</v>
      </c>
    </row>
    <row r="17" customFormat="false" ht="15" hidden="false" customHeight="false" outlineLevel="0" collapsed="false">
      <c r="A17" s="12" t="n">
        <v>12</v>
      </c>
      <c r="B17" s="7" t="s">
        <v>126</v>
      </c>
      <c r="C17" s="7" t="s">
        <v>383</v>
      </c>
      <c r="D17" s="12" t="s">
        <v>379</v>
      </c>
      <c r="E17" s="21" t="n">
        <v>3500</v>
      </c>
      <c r="F17" s="21" t="n">
        <v>3500</v>
      </c>
      <c r="G17" s="29" t="n">
        <f aca="false">F17-E17</f>
        <v>0</v>
      </c>
      <c r="H17" s="30" t="n">
        <f aca="false">IF(E17&lt;&gt;0,(F17-E17)/E17,0)</f>
        <v>0</v>
      </c>
      <c r="I17" s="7" t="s">
        <v>382</v>
      </c>
    </row>
    <row r="18" customFormat="false" ht="15" hidden="false" customHeight="false" outlineLevel="0" collapsed="false">
      <c r="A18" s="11" t="n">
        <v>13</v>
      </c>
      <c r="B18" s="5" t="s">
        <v>356</v>
      </c>
      <c r="C18" s="5" t="s">
        <v>384</v>
      </c>
      <c r="D18" s="11" t="s">
        <v>86</v>
      </c>
      <c r="E18" s="20" t="n">
        <v>62000</v>
      </c>
      <c r="F18" s="20" t="n">
        <v>63500</v>
      </c>
      <c r="G18" s="27" t="n">
        <f aca="false">F18-E18</f>
        <v>1500</v>
      </c>
      <c r="H18" s="28" t="n">
        <f aca="false">IF(E18&lt;&gt;0,(F18-E18)/E18,0)</f>
        <v>0.0241935483870968</v>
      </c>
      <c r="I18" s="5" t="s">
        <v>372</v>
      </c>
    </row>
    <row r="19" customFormat="false" ht="15" hidden="false" customHeight="false" outlineLevel="0" collapsed="false">
      <c r="A19" s="12" t="n">
        <v>14</v>
      </c>
      <c r="B19" s="7" t="s">
        <v>356</v>
      </c>
      <c r="C19" s="7" t="s">
        <v>385</v>
      </c>
      <c r="D19" s="12" t="s">
        <v>64</v>
      </c>
      <c r="E19" s="21" t="n">
        <v>1400</v>
      </c>
      <c r="F19" s="21" t="n">
        <v>1420</v>
      </c>
      <c r="G19" s="29" t="n">
        <f aca="false">F19-E19</f>
        <v>20</v>
      </c>
      <c r="H19" s="30" t="n">
        <f aca="false">IF(E19&lt;&gt;0,(F19-E19)/E19,0)</f>
        <v>0.0142857142857143</v>
      </c>
      <c r="I19" s="7" t="s">
        <v>372</v>
      </c>
    </row>
    <row r="20" customFormat="false" ht="15" hidden="false" customHeight="false" outlineLevel="0" collapsed="false">
      <c r="A20" s="11" t="n">
        <v>15</v>
      </c>
      <c r="B20" s="5" t="s">
        <v>356</v>
      </c>
      <c r="C20" s="5" t="s">
        <v>386</v>
      </c>
      <c r="D20" s="11" t="s">
        <v>64</v>
      </c>
      <c r="E20" s="20" t="n">
        <v>1600</v>
      </c>
      <c r="F20" s="20" t="n">
        <v>1650</v>
      </c>
      <c r="G20" s="27" t="n">
        <f aca="false">F20-E20</f>
        <v>50</v>
      </c>
      <c r="H20" s="28" t="n">
        <f aca="false">IF(E20&lt;&gt;0,(F20-E20)/E20,0)</f>
        <v>0.03125</v>
      </c>
      <c r="I20" s="5" t="s">
        <v>372</v>
      </c>
    </row>
    <row r="21" customFormat="false" ht="15" hidden="false" customHeight="false" outlineLevel="0" collapsed="false">
      <c r="A21" s="12" t="n">
        <v>16</v>
      </c>
      <c r="B21" s="7" t="s">
        <v>356</v>
      </c>
      <c r="C21" s="7" t="s">
        <v>387</v>
      </c>
      <c r="D21" s="12" t="s">
        <v>64</v>
      </c>
      <c r="E21" s="21" t="n">
        <v>1200</v>
      </c>
      <c r="F21" s="21" t="n">
        <v>1180</v>
      </c>
      <c r="G21" s="29" t="n">
        <f aca="false">F21-E21</f>
        <v>-20</v>
      </c>
      <c r="H21" s="30" t="n">
        <f aca="false">IF(E21&lt;&gt;0,(F21-E21)/E21,0)</f>
        <v>-0.0166666666666667</v>
      </c>
      <c r="I21" s="7" t="s">
        <v>373</v>
      </c>
    </row>
    <row r="22" customFormat="false" ht="15" hidden="false" customHeight="false" outlineLevel="0" collapsed="false">
      <c r="A22" s="11" t="n">
        <v>17</v>
      </c>
      <c r="B22" s="5" t="s">
        <v>356</v>
      </c>
      <c r="C22" s="5" t="s">
        <v>388</v>
      </c>
      <c r="D22" s="11" t="s">
        <v>389</v>
      </c>
      <c r="E22" s="20" t="n">
        <v>380</v>
      </c>
      <c r="F22" s="20" t="n">
        <v>395</v>
      </c>
      <c r="G22" s="27" t="n">
        <f aca="false">F22-E22</f>
        <v>15</v>
      </c>
      <c r="H22" s="28" t="n">
        <f aca="false">IF(E22&lt;&gt;0,(F22-E22)/E22,0)</f>
        <v>0.0394736842105263</v>
      </c>
      <c r="I22" s="5" t="s">
        <v>372</v>
      </c>
    </row>
    <row r="23" customFormat="false" ht="15" hidden="false" customHeight="false" outlineLevel="0" collapsed="false">
      <c r="A23" s="12" t="n">
        <v>18</v>
      </c>
      <c r="B23" s="7" t="s">
        <v>356</v>
      </c>
      <c r="C23" s="7" t="s">
        <v>390</v>
      </c>
      <c r="D23" s="12" t="s">
        <v>64</v>
      </c>
      <c r="E23" s="21" t="n">
        <v>800</v>
      </c>
      <c r="F23" s="21" t="n">
        <v>810</v>
      </c>
      <c r="G23" s="29" t="n">
        <f aca="false">F23-E23</f>
        <v>10</v>
      </c>
      <c r="H23" s="30" t="n">
        <f aca="false">IF(E23&lt;&gt;0,(F23-E23)/E23,0)</f>
        <v>0.0125</v>
      </c>
      <c r="I23" s="7" t="s">
        <v>372</v>
      </c>
    </row>
    <row r="24" customFormat="false" ht="15" hidden="false" customHeight="false" outlineLevel="0" collapsed="false">
      <c r="A24" s="11" t="n">
        <v>19</v>
      </c>
      <c r="B24" s="5" t="s">
        <v>356</v>
      </c>
      <c r="C24" s="5" t="s">
        <v>391</v>
      </c>
      <c r="D24" s="11" t="s">
        <v>64</v>
      </c>
      <c r="E24" s="20" t="n">
        <v>900</v>
      </c>
      <c r="F24" s="20" t="n">
        <v>920</v>
      </c>
      <c r="G24" s="27" t="n">
        <f aca="false">F24-E24</f>
        <v>20</v>
      </c>
      <c r="H24" s="28" t="n">
        <f aca="false">IF(E24&lt;&gt;0,(F24-E24)/E24,0)</f>
        <v>0.0222222222222222</v>
      </c>
      <c r="I24" s="5" t="s">
        <v>372</v>
      </c>
    </row>
    <row r="25" customFormat="false" ht="15" hidden="false" customHeight="false" outlineLevel="0" collapsed="false">
      <c r="A25" s="12" t="n">
        <v>20</v>
      </c>
      <c r="B25" s="7" t="s">
        <v>392</v>
      </c>
      <c r="C25" s="7" t="s">
        <v>393</v>
      </c>
      <c r="D25" s="12" t="s">
        <v>64</v>
      </c>
      <c r="E25" s="21" t="n">
        <v>180</v>
      </c>
      <c r="F25" s="21" t="n">
        <v>185</v>
      </c>
      <c r="G25" s="29" t="n">
        <f aca="false">F25-E25</f>
        <v>5</v>
      </c>
      <c r="H25" s="30" t="n">
        <f aca="false">IF(E25&lt;&gt;0,(F25-E25)/E25,0)</f>
        <v>0.0277777777777778</v>
      </c>
      <c r="I25" s="7" t="s">
        <v>372</v>
      </c>
    </row>
    <row r="26" customFormat="false" ht="15" hidden="false" customHeight="false" outlineLevel="0" collapsed="false">
      <c r="A26" s="11" t="n">
        <v>21</v>
      </c>
      <c r="B26" s="5" t="s">
        <v>392</v>
      </c>
      <c r="C26" s="5" t="s">
        <v>394</v>
      </c>
      <c r="D26" s="11" t="s">
        <v>64</v>
      </c>
      <c r="E26" s="20" t="n">
        <v>120</v>
      </c>
      <c r="F26" s="20" t="n">
        <v>118</v>
      </c>
      <c r="G26" s="27" t="n">
        <f aca="false">F26-E26</f>
        <v>-2</v>
      </c>
      <c r="H26" s="28" t="n">
        <f aca="false">IF(E26&lt;&gt;0,(F26-E26)/E26,0)</f>
        <v>-0.0166666666666667</v>
      </c>
      <c r="I26" s="5" t="s">
        <v>373</v>
      </c>
    </row>
    <row r="27" customFormat="false" ht="15" hidden="false" customHeight="false" outlineLevel="0" collapsed="false">
      <c r="A27" s="12" t="n">
        <v>22</v>
      </c>
      <c r="B27" s="7" t="s">
        <v>392</v>
      </c>
      <c r="C27" s="7" t="s">
        <v>395</v>
      </c>
      <c r="D27" s="12" t="s">
        <v>98</v>
      </c>
      <c r="E27" s="21" t="n">
        <v>450</v>
      </c>
      <c r="F27" s="21" t="n">
        <v>450</v>
      </c>
      <c r="G27" s="29" t="n">
        <f aca="false">F27-E27</f>
        <v>0</v>
      </c>
      <c r="H27" s="30" t="n">
        <f aca="false">IF(E27&lt;&gt;0,(F27-E27)/E27,0)</f>
        <v>0</v>
      </c>
      <c r="I27" s="7" t="s">
        <v>382</v>
      </c>
    </row>
    <row r="28" customFormat="false" ht="15" hidden="false" customHeight="false" outlineLevel="0" collapsed="false">
      <c r="A28" s="11" t="n">
        <v>23</v>
      </c>
      <c r="B28" s="5" t="s">
        <v>392</v>
      </c>
      <c r="C28" s="5" t="s">
        <v>396</v>
      </c>
      <c r="D28" s="11" t="s">
        <v>64</v>
      </c>
      <c r="E28" s="20" t="n">
        <v>8500</v>
      </c>
      <c r="F28" s="20" t="n">
        <v>8600</v>
      </c>
      <c r="G28" s="27" t="n">
        <f aca="false">F28-E28</f>
        <v>100</v>
      </c>
      <c r="H28" s="28" t="n">
        <f aca="false">IF(E28&lt;&gt;0,(F28-E28)/E28,0)</f>
        <v>0.0117647058823529</v>
      </c>
      <c r="I28" s="5" t="s">
        <v>372</v>
      </c>
    </row>
    <row r="30" customFormat="false" ht="15" hidden="false" customHeight="false" outlineLevel="0" collapsed="false">
      <c r="A30" s="18" t="s">
        <v>397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customFormat="false" ht="32.8" hidden="false" customHeight="false" outlineLevel="0" collapsed="false">
      <c r="A31" s="9" t="s">
        <v>51</v>
      </c>
      <c r="B31" s="9" t="s">
        <v>54</v>
      </c>
      <c r="C31" s="9" t="s">
        <v>56</v>
      </c>
      <c r="D31" s="9" t="s">
        <v>57</v>
      </c>
      <c r="E31" s="9" t="s">
        <v>398</v>
      </c>
      <c r="F31" s="9" t="s">
        <v>399</v>
      </c>
      <c r="G31" s="9" t="s">
        <v>400</v>
      </c>
      <c r="H31" s="9" t="s">
        <v>401</v>
      </c>
      <c r="I31" s="9" t="s">
        <v>369</v>
      </c>
      <c r="J31" s="9" t="s">
        <v>370</v>
      </c>
      <c r="K31" s="9" t="s">
        <v>229</v>
      </c>
    </row>
    <row r="32" customFormat="false" ht="15" hidden="false" customHeight="false" outlineLevel="0" collapsed="false">
      <c r="A32" s="11" t="s">
        <v>60</v>
      </c>
      <c r="B32" s="5" t="s">
        <v>63</v>
      </c>
      <c r="C32" s="22" t="n">
        <v>850</v>
      </c>
      <c r="D32" s="11" t="s">
        <v>64</v>
      </c>
      <c r="E32" s="20" t="n">
        <v>180</v>
      </c>
      <c r="F32" s="20" t="n">
        <v>185</v>
      </c>
      <c r="G32" s="27" t="n">
        <f aca="false">C32*E32</f>
        <v>153000</v>
      </c>
      <c r="H32" s="27" t="n">
        <f aca="false">C32*F32</f>
        <v>157250</v>
      </c>
      <c r="I32" s="27" t="n">
        <f aca="false">H32-G32</f>
        <v>4250</v>
      </c>
      <c r="J32" s="28" t="n">
        <f aca="false">IF(G32&lt;&gt;0,(H32-G32)/G32,0)</f>
        <v>0.0277777777777778</v>
      </c>
      <c r="K32" s="5" t="s">
        <v>61</v>
      </c>
    </row>
    <row r="33" customFormat="false" ht="15" hidden="false" customHeight="false" outlineLevel="0" collapsed="false">
      <c r="A33" s="12" t="s">
        <v>60</v>
      </c>
      <c r="B33" s="7" t="s">
        <v>66</v>
      </c>
      <c r="C33" s="23" t="n">
        <v>620</v>
      </c>
      <c r="D33" s="12" t="s">
        <v>64</v>
      </c>
      <c r="E33" s="21" t="n">
        <v>120</v>
      </c>
      <c r="F33" s="21" t="n">
        <v>118</v>
      </c>
      <c r="G33" s="29" t="n">
        <f aca="false">C33*E33</f>
        <v>74400</v>
      </c>
      <c r="H33" s="29" t="n">
        <f aca="false">C33*F33</f>
        <v>73160</v>
      </c>
      <c r="I33" s="29" t="n">
        <f aca="false">H33-G33</f>
        <v>-1240</v>
      </c>
      <c r="J33" s="30" t="n">
        <f aca="false">IF(G33&lt;&gt;0,(H33-G33)/G33,0)</f>
        <v>-0.0166666666666667</v>
      </c>
      <c r="K33" s="7" t="s">
        <v>61</v>
      </c>
    </row>
    <row r="34" customFormat="false" ht="15" hidden="false" customHeight="false" outlineLevel="0" collapsed="false">
      <c r="A34" s="11" t="s">
        <v>68</v>
      </c>
      <c r="B34" s="5" t="s">
        <v>63</v>
      </c>
      <c r="C34" s="22" t="n">
        <v>900</v>
      </c>
      <c r="D34" s="11" t="s">
        <v>64</v>
      </c>
      <c r="E34" s="20" t="n">
        <v>180</v>
      </c>
      <c r="F34" s="20" t="n">
        <v>185</v>
      </c>
      <c r="G34" s="27" t="n">
        <f aca="false">C34*E34</f>
        <v>162000</v>
      </c>
      <c r="H34" s="27" t="n">
        <f aca="false">C34*F34</f>
        <v>166500</v>
      </c>
      <c r="I34" s="27" t="n">
        <f aca="false">H34-G34</f>
        <v>4500</v>
      </c>
      <c r="J34" s="28" t="n">
        <f aca="false">IF(G34&lt;&gt;0,(H34-G34)/G34,0)</f>
        <v>0.0277777777777778</v>
      </c>
      <c r="K34" s="5" t="s">
        <v>61</v>
      </c>
    </row>
    <row r="35" customFormat="false" ht="15" hidden="false" customHeight="false" outlineLevel="0" collapsed="false">
      <c r="A35" s="12" t="s">
        <v>68</v>
      </c>
      <c r="B35" s="7" t="s">
        <v>66</v>
      </c>
      <c r="C35" s="23" t="n">
        <v>680</v>
      </c>
      <c r="D35" s="12" t="s">
        <v>64</v>
      </c>
      <c r="E35" s="21" t="n">
        <v>120</v>
      </c>
      <c r="F35" s="21" t="n">
        <v>118</v>
      </c>
      <c r="G35" s="29" t="n">
        <f aca="false">C35*E35</f>
        <v>81600</v>
      </c>
      <c r="H35" s="29" t="n">
        <f aca="false">C35*F35</f>
        <v>80240</v>
      </c>
      <c r="I35" s="29" t="n">
        <f aca="false">H35-G35</f>
        <v>-1360</v>
      </c>
      <c r="J35" s="30" t="n">
        <f aca="false">IF(G35&lt;&gt;0,(H35-G35)/G35,0)</f>
        <v>-0.0166666666666667</v>
      </c>
      <c r="K35" s="7" t="s">
        <v>61</v>
      </c>
    </row>
    <row r="36" customFormat="false" ht="15" hidden="false" customHeight="false" outlineLevel="0" collapsed="false">
      <c r="A36" s="11" t="s">
        <v>72</v>
      </c>
      <c r="B36" s="5" t="s">
        <v>75</v>
      </c>
      <c r="C36" s="22" t="n">
        <v>480</v>
      </c>
      <c r="D36" s="11" t="s">
        <v>64</v>
      </c>
      <c r="E36" s="20" t="n">
        <v>800</v>
      </c>
      <c r="F36" s="20" t="n">
        <v>810</v>
      </c>
      <c r="G36" s="27" t="n">
        <f aca="false">C36*E36</f>
        <v>384000</v>
      </c>
      <c r="H36" s="27" t="n">
        <f aca="false">C36*F36</f>
        <v>388800</v>
      </c>
      <c r="I36" s="27" t="n">
        <f aca="false">H36-G36</f>
        <v>4800</v>
      </c>
      <c r="J36" s="28" t="n">
        <f aca="false">IF(G36&lt;&gt;0,(H36-G36)/G36,0)</f>
        <v>0.0125</v>
      </c>
      <c r="K36" s="5" t="s">
        <v>73</v>
      </c>
    </row>
    <row r="37" customFormat="false" ht="15" hidden="false" customHeight="false" outlineLevel="0" collapsed="false">
      <c r="A37" s="12" t="s">
        <v>72</v>
      </c>
      <c r="B37" s="7" t="s">
        <v>77</v>
      </c>
      <c r="C37" s="23" t="n">
        <v>320</v>
      </c>
      <c r="D37" s="12" t="s">
        <v>64</v>
      </c>
      <c r="E37" s="21" t="n">
        <v>900</v>
      </c>
      <c r="F37" s="21" t="n">
        <v>920</v>
      </c>
      <c r="G37" s="29" t="n">
        <f aca="false">C37*E37</f>
        <v>288000</v>
      </c>
      <c r="H37" s="29" t="n">
        <f aca="false">C37*F37</f>
        <v>294400</v>
      </c>
      <c r="I37" s="29" t="n">
        <f aca="false">H37-G37</f>
        <v>6400</v>
      </c>
      <c r="J37" s="30" t="n">
        <f aca="false">IF(G37&lt;&gt;0,(H37-G37)/G37,0)</f>
        <v>0.0222222222222222</v>
      </c>
      <c r="K37" s="7" t="s">
        <v>73</v>
      </c>
    </row>
    <row r="38" customFormat="false" ht="15" hidden="false" customHeight="false" outlineLevel="0" collapsed="false">
      <c r="A38" s="11" t="s">
        <v>79</v>
      </c>
      <c r="B38" s="5" t="s">
        <v>75</v>
      </c>
      <c r="C38" s="22" t="n">
        <v>390</v>
      </c>
      <c r="D38" s="11" t="s">
        <v>64</v>
      </c>
      <c r="E38" s="20" t="n">
        <v>800</v>
      </c>
      <c r="F38" s="20" t="n">
        <v>810</v>
      </c>
      <c r="G38" s="27" t="n">
        <f aca="false">C38*E38</f>
        <v>312000</v>
      </c>
      <c r="H38" s="27" t="n">
        <f aca="false">C38*F38</f>
        <v>315900</v>
      </c>
      <c r="I38" s="27" t="n">
        <f aca="false">H38-G38</f>
        <v>3900</v>
      </c>
      <c r="J38" s="28" t="n">
        <f aca="false">IF(G38&lt;&gt;0,(H38-G38)/G38,0)</f>
        <v>0.0125</v>
      </c>
      <c r="K38" s="5" t="s">
        <v>73</v>
      </c>
    </row>
    <row r="39" customFormat="false" ht="15" hidden="false" customHeight="false" outlineLevel="0" collapsed="false">
      <c r="A39" s="12" t="s">
        <v>79</v>
      </c>
      <c r="B39" s="7" t="s">
        <v>77</v>
      </c>
      <c r="C39" s="23" t="n">
        <v>270</v>
      </c>
      <c r="D39" s="12" t="s">
        <v>64</v>
      </c>
      <c r="E39" s="21" t="n">
        <v>900</v>
      </c>
      <c r="F39" s="21" t="n">
        <v>920</v>
      </c>
      <c r="G39" s="29" t="n">
        <f aca="false">C39*E39</f>
        <v>243000</v>
      </c>
      <c r="H39" s="29" t="n">
        <f aca="false">C39*F39</f>
        <v>248400</v>
      </c>
      <c r="I39" s="29" t="n">
        <f aca="false">H39-G39</f>
        <v>5400</v>
      </c>
      <c r="J39" s="30" t="n">
        <f aca="false">IF(G39&lt;&gt;0,(H39-G39)/G39,0)</f>
        <v>0.0222222222222222</v>
      </c>
      <c r="K39" s="7" t="s">
        <v>73</v>
      </c>
    </row>
    <row r="40" customFormat="false" ht="15" hidden="false" customHeight="false" outlineLevel="0" collapsed="false">
      <c r="A40" s="11" t="s">
        <v>83</v>
      </c>
      <c r="B40" s="5" t="s">
        <v>85</v>
      </c>
      <c r="C40" s="22" t="n">
        <v>320</v>
      </c>
      <c r="D40" s="11" t="s">
        <v>86</v>
      </c>
      <c r="E40" s="20" t="n">
        <v>4500</v>
      </c>
      <c r="F40" s="20" t="n">
        <v>4620</v>
      </c>
      <c r="G40" s="27" t="n">
        <f aca="false">C40*E40</f>
        <v>1440000</v>
      </c>
      <c r="H40" s="27" t="n">
        <f aca="false">C40*F40</f>
        <v>1478400</v>
      </c>
      <c r="I40" s="27" t="n">
        <f aca="false">H40-G40</f>
        <v>38400</v>
      </c>
      <c r="J40" s="28" t="n">
        <f aca="false">IF(G40&lt;&gt;0,(H40-G40)/G40,0)</f>
        <v>0.0266666666666667</v>
      </c>
      <c r="K40" s="5" t="s">
        <v>61</v>
      </c>
    </row>
    <row r="41" customFormat="false" ht="15" hidden="false" customHeight="false" outlineLevel="0" collapsed="false">
      <c r="A41" s="12" t="s">
        <v>83</v>
      </c>
      <c r="B41" s="7" t="s">
        <v>88</v>
      </c>
      <c r="C41" s="23" t="n">
        <v>180</v>
      </c>
      <c r="D41" s="12" t="s">
        <v>86</v>
      </c>
      <c r="E41" s="21" t="n">
        <v>5200</v>
      </c>
      <c r="F41" s="21" t="n">
        <v>5320</v>
      </c>
      <c r="G41" s="29" t="n">
        <f aca="false">C41*E41</f>
        <v>936000</v>
      </c>
      <c r="H41" s="29" t="n">
        <f aca="false">C41*F41</f>
        <v>957600</v>
      </c>
      <c r="I41" s="29" t="n">
        <f aca="false">H41-G41</f>
        <v>21600</v>
      </c>
      <c r="J41" s="30" t="n">
        <f aca="false">IF(G41&lt;&gt;0,(H41-G41)/G41,0)</f>
        <v>0.0230769230769231</v>
      </c>
      <c r="K41" s="7" t="s">
        <v>61</v>
      </c>
    </row>
    <row r="42" customFormat="false" ht="15" hidden="false" customHeight="false" outlineLevel="0" collapsed="false">
      <c r="A42" s="11" t="s">
        <v>90</v>
      </c>
      <c r="B42" s="5" t="s">
        <v>85</v>
      </c>
      <c r="C42" s="22" t="n">
        <v>290</v>
      </c>
      <c r="D42" s="11" t="s">
        <v>86</v>
      </c>
      <c r="E42" s="20" t="n">
        <v>4500</v>
      </c>
      <c r="F42" s="20" t="n">
        <v>4620</v>
      </c>
      <c r="G42" s="27" t="n">
        <f aca="false">C42*E42</f>
        <v>1305000</v>
      </c>
      <c r="H42" s="27" t="n">
        <f aca="false">C42*F42</f>
        <v>1339800</v>
      </c>
      <c r="I42" s="27" t="n">
        <f aca="false">H42-G42</f>
        <v>34800</v>
      </c>
      <c r="J42" s="28" t="n">
        <f aca="false">IF(G42&lt;&gt;0,(H42-G42)/G42,0)</f>
        <v>0.0266666666666667</v>
      </c>
      <c r="K42" s="5" t="s">
        <v>61</v>
      </c>
    </row>
    <row r="43" customFormat="false" ht="15" hidden="false" customHeight="false" outlineLevel="0" collapsed="false">
      <c r="A43" s="12" t="s">
        <v>90</v>
      </c>
      <c r="B43" s="7" t="s">
        <v>88</v>
      </c>
      <c r="C43" s="23" t="n">
        <v>160</v>
      </c>
      <c r="D43" s="12" t="s">
        <v>86</v>
      </c>
      <c r="E43" s="21" t="n">
        <v>5200</v>
      </c>
      <c r="F43" s="21" t="n">
        <v>5320</v>
      </c>
      <c r="G43" s="29" t="n">
        <f aca="false">C43*E43</f>
        <v>832000</v>
      </c>
      <c r="H43" s="29" t="n">
        <f aca="false">C43*F43</f>
        <v>851200</v>
      </c>
      <c r="I43" s="29" t="n">
        <f aca="false">H43-G43</f>
        <v>19200</v>
      </c>
      <c r="J43" s="30" t="n">
        <f aca="false">IF(G43&lt;&gt;0,(H43-G43)/G43,0)</f>
        <v>0.0230769230769231</v>
      </c>
      <c r="K43" s="7" t="s">
        <v>61</v>
      </c>
    </row>
    <row r="44" customFormat="false" ht="15" hidden="false" customHeight="false" outlineLevel="0" collapsed="false">
      <c r="A44" s="11" t="s">
        <v>94</v>
      </c>
      <c r="B44" s="5" t="s">
        <v>402</v>
      </c>
      <c r="C44" s="22" t="n">
        <v>150</v>
      </c>
      <c r="D44" s="11" t="s">
        <v>98</v>
      </c>
      <c r="E44" s="20" t="n">
        <v>2800</v>
      </c>
      <c r="F44" s="20" t="n">
        <v>2820</v>
      </c>
      <c r="G44" s="27" t="n">
        <f aca="false">C44*E44</f>
        <v>420000</v>
      </c>
      <c r="H44" s="27" t="n">
        <f aca="false">C44*F44</f>
        <v>423000</v>
      </c>
      <c r="I44" s="27" t="n">
        <f aca="false">H44-G44</f>
        <v>3000</v>
      </c>
      <c r="J44" s="28" t="n">
        <f aca="false">IF(G44&lt;&gt;0,(H44-G44)/G44,0)</f>
        <v>0.00714285714285714</v>
      </c>
      <c r="K44" s="5" t="s">
        <v>95</v>
      </c>
    </row>
    <row r="45" customFormat="false" ht="15" hidden="false" customHeight="false" outlineLevel="0" collapsed="false">
      <c r="A45" s="12" t="s">
        <v>94</v>
      </c>
      <c r="B45" s="7" t="s">
        <v>403</v>
      </c>
      <c r="C45" s="23" t="n">
        <v>2</v>
      </c>
      <c r="D45" s="12" t="s">
        <v>101</v>
      </c>
      <c r="E45" s="21" t="n">
        <v>85000</v>
      </c>
      <c r="F45" s="21" t="n">
        <v>87500</v>
      </c>
      <c r="G45" s="29" t="n">
        <f aca="false">C45*E45</f>
        <v>170000</v>
      </c>
      <c r="H45" s="29" t="n">
        <f aca="false">C45*F45</f>
        <v>175000</v>
      </c>
      <c r="I45" s="29" t="n">
        <f aca="false">H45-G45</f>
        <v>5000</v>
      </c>
      <c r="J45" s="30" t="n">
        <f aca="false">IF(G45&lt;&gt;0,(H45-G45)/G45,0)</f>
        <v>0.0294117647058824</v>
      </c>
      <c r="K45" s="7" t="s">
        <v>95</v>
      </c>
    </row>
    <row r="46" customFormat="false" ht="15" hidden="false" customHeight="false" outlineLevel="0" collapsed="false">
      <c r="A46" s="11" t="s">
        <v>103</v>
      </c>
      <c r="B46" s="5" t="s">
        <v>404</v>
      </c>
      <c r="C46" s="22" t="n">
        <v>180</v>
      </c>
      <c r="D46" s="11" t="s">
        <v>98</v>
      </c>
      <c r="E46" s="20" t="n">
        <v>2800</v>
      </c>
      <c r="F46" s="20" t="n">
        <v>2820</v>
      </c>
      <c r="G46" s="27" t="n">
        <f aca="false">C46*E46</f>
        <v>504000</v>
      </c>
      <c r="H46" s="27" t="n">
        <f aca="false">C46*F46</f>
        <v>507600</v>
      </c>
      <c r="I46" s="27" t="n">
        <f aca="false">H46-G46</f>
        <v>3600</v>
      </c>
      <c r="J46" s="28" t="n">
        <f aca="false">IF(G46&lt;&gt;0,(H46-G46)/G46,0)</f>
        <v>0.00714285714285714</v>
      </c>
      <c r="K46" s="5" t="s">
        <v>95</v>
      </c>
    </row>
    <row r="47" customFormat="false" ht="15" hidden="false" customHeight="false" outlineLevel="0" collapsed="false">
      <c r="A47" s="12" t="s">
        <v>103</v>
      </c>
      <c r="B47" s="7" t="s">
        <v>63</v>
      </c>
      <c r="C47" s="23" t="n">
        <v>750</v>
      </c>
      <c r="D47" s="12" t="s">
        <v>64</v>
      </c>
      <c r="E47" s="21" t="n">
        <v>180</v>
      </c>
      <c r="F47" s="21" t="n">
        <v>185</v>
      </c>
      <c r="G47" s="29" t="n">
        <f aca="false">C47*E47</f>
        <v>135000</v>
      </c>
      <c r="H47" s="29" t="n">
        <f aca="false">C47*F47</f>
        <v>138750</v>
      </c>
      <c r="I47" s="29" t="n">
        <f aca="false">H47-G47</f>
        <v>3750</v>
      </c>
      <c r="J47" s="30" t="n">
        <f aca="false">IF(G47&lt;&gt;0,(H47-G47)/G47,0)</f>
        <v>0.0277777777777778</v>
      </c>
      <c r="K47" s="7" t="s">
        <v>95</v>
      </c>
    </row>
    <row r="48" customFormat="false" ht="15" hidden="false" customHeight="false" outlineLevel="0" collapsed="false">
      <c r="A48" s="11" t="s">
        <v>107</v>
      </c>
      <c r="B48" s="5" t="s">
        <v>75</v>
      </c>
      <c r="C48" s="22" t="n">
        <v>510</v>
      </c>
      <c r="D48" s="11" t="s">
        <v>64</v>
      </c>
      <c r="E48" s="20" t="n">
        <v>800</v>
      </c>
      <c r="F48" s="20" t="n">
        <v>810</v>
      </c>
      <c r="G48" s="27" t="n">
        <f aca="false">C48*E48</f>
        <v>408000</v>
      </c>
      <c r="H48" s="27" t="n">
        <f aca="false">C48*F48</f>
        <v>413100</v>
      </c>
      <c r="I48" s="27" t="n">
        <f aca="false">H48-G48</f>
        <v>5100</v>
      </c>
      <c r="J48" s="28" t="n">
        <f aca="false">IF(G48&lt;&gt;0,(H48-G48)/G48,0)</f>
        <v>0.0125</v>
      </c>
      <c r="K48" s="5" t="s">
        <v>73</v>
      </c>
    </row>
    <row r="49" customFormat="false" ht="15" hidden="false" customHeight="false" outlineLevel="0" collapsed="false">
      <c r="A49" s="12" t="s">
        <v>110</v>
      </c>
      <c r="B49" s="7" t="s">
        <v>77</v>
      </c>
      <c r="C49" s="23" t="n">
        <v>410</v>
      </c>
      <c r="D49" s="12" t="s">
        <v>64</v>
      </c>
      <c r="E49" s="21" t="n">
        <v>900</v>
      </c>
      <c r="F49" s="21" t="n">
        <v>920</v>
      </c>
      <c r="G49" s="29" t="n">
        <f aca="false">C49*E49</f>
        <v>369000</v>
      </c>
      <c r="H49" s="29" t="n">
        <f aca="false">C49*F49</f>
        <v>377200</v>
      </c>
      <c r="I49" s="29" t="n">
        <f aca="false">H49-G49</f>
        <v>8200</v>
      </c>
      <c r="J49" s="30" t="n">
        <f aca="false">IF(G49&lt;&gt;0,(H49-G49)/G49,0)</f>
        <v>0.0222222222222222</v>
      </c>
      <c r="K49" s="7" t="s">
        <v>73</v>
      </c>
    </row>
    <row r="50" customFormat="false" ht="15" hidden="false" customHeight="false" outlineLevel="0" collapsed="false">
      <c r="A50" s="11" t="s">
        <v>113</v>
      </c>
      <c r="B50" s="5" t="s">
        <v>85</v>
      </c>
      <c r="C50" s="22" t="n">
        <v>350</v>
      </c>
      <c r="D50" s="11" t="s">
        <v>86</v>
      </c>
      <c r="E50" s="20" t="n">
        <v>4500</v>
      </c>
      <c r="F50" s="20" t="n">
        <v>4620</v>
      </c>
      <c r="G50" s="27" t="n">
        <f aca="false">C50*E50</f>
        <v>1575000</v>
      </c>
      <c r="H50" s="27" t="n">
        <f aca="false">C50*F50</f>
        <v>1617000</v>
      </c>
      <c r="I50" s="27" t="n">
        <f aca="false">H50-G50</f>
        <v>42000</v>
      </c>
      <c r="J50" s="28" t="n">
        <f aca="false">IF(G50&lt;&gt;0,(H50-G50)/G50,0)</f>
        <v>0.0266666666666667</v>
      </c>
      <c r="K50" s="5" t="s">
        <v>61</v>
      </c>
    </row>
    <row r="51" customFormat="false" ht="15" hidden="false" customHeight="false" outlineLevel="0" collapsed="false">
      <c r="A51" s="12" t="s">
        <v>116</v>
      </c>
      <c r="B51" s="7" t="s">
        <v>88</v>
      </c>
      <c r="C51" s="23" t="n">
        <v>200</v>
      </c>
      <c r="D51" s="12" t="s">
        <v>86</v>
      </c>
      <c r="E51" s="21" t="n">
        <v>5200</v>
      </c>
      <c r="F51" s="21" t="n">
        <v>5320</v>
      </c>
      <c r="G51" s="29" t="n">
        <f aca="false">C51*E51</f>
        <v>1040000</v>
      </c>
      <c r="H51" s="29" t="n">
        <f aca="false">C51*F51</f>
        <v>1064000</v>
      </c>
      <c r="I51" s="29" t="n">
        <f aca="false">H51-G51</f>
        <v>24000</v>
      </c>
      <c r="J51" s="30" t="n">
        <f aca="false">IF(G51&lt;&gt;0,(H51-G51)/G51,0)</f>
        <v>0.0230769230769231</v>
      </c>
      <c r="K51" s="7" t="s">
        <v>61</v>
      </c>
    </row>
    <row r="52" customFormat="false" ht="15" hidden="false" customHeight="true" outlineLevel="0" collapsed="false">
      <c r="A52" s="19" t="s">
        <v>405</v>
      </c>
      <c r="B52" s="19"/>
      <c r="C52" s="19"/>
      <c r="D52" s="19"/>
      <c r="E52" s="19"/>
      <c r="F52" s="19"/>
      <c r="G52" s="31" t="n">
        <f aca="false">SUM(G32:G51)</f>
        <v>10832000</v>
      </c>
      <c r="H52" s="31" t="n">
        <f aca="false">SUM(H32:H51)</f>
        <v>11067300</v>
      </c>
      <c r="I52" s="31" t="n">
        <f aca="false">SUM(I32:I51)</f>
        <v>235300</v>
      </c>
      <c r="J52" s="32" t="n">
        <f aca="false">IF(G52&lt;&gt;0,I52/G52,0)</f>
        <v>0.0217226735598228</v>
      </c>
      <c r="K52" s="10"/>
    </row>
    <row r="54" customFormat="false" ht="15" hidden="false" customHeight="false" outlineLevel="0" collapsed="false">
      <c r="A54" s="18" t="s">
        <v>406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customFormat="false" ht="23.85" hidden="false" customHeight="false" outlineLevel="0" collapsed="false">
      <c r="A55" s="19" t="s">
        <v>51</v>
      </c>
      <c r="B55" s="19" t="s">
        <v>407</v>
      </c>
      <c r="C55" s="19" t="s">
        <v>57</v>
      </c>
      <c r="D55" s="19" t="s">
        <v>408</v>
      </c>
      <c r="E55" s="19" t="s">
        <v>409</v>
      </c>
      <c r="F55" s="19" t="s">
        <v>410</v>
      </c>
      <c r="G55" s="19" t="s">
        <v>411</v>
      </c>
      <c r="H55" s="19" t="s">
        <v>412</v>
      </c>
      <c r="I55" s="19" t="s">
        <v>413</v>
      </c>
      <c r="J55" s="19" t="s">
        <v>414</v>
      </c>
    </row>
    <row r="56" customFormat="false" ht="15" hidden="false" customHeight="false" outlineLevel="0" collapsed="false">
      <c r="A56" s="11" t="s">
        <v>60</v>
      </c>
      <c r="B56" s="5" t="s">
        <v>385</v>
      </c>
      <c r="C56" s="11" t="s">
        <v>64</v>
      </c>
      <c r="D56" s="33" t="n">
        <v>120</v>
      </c>
      <c r="E56" s="33" t="n">
        <v>50</v>
      </c>
      <c r="F56" s="33" t="n">
        <v>45</v>
      </c>
      <c r="G56" s="33" t="n">
        <v>125</v>
      </c>
      <c r="H56" s="34" t="n">
        <v>0.5</v>
      </c>
      <c r="I56" s="5" t="s">
        <v>61</v>
      </c>
      <c r="J56" s="5" t="s">
        <v>415</v>
      </c>
    </row>
    <row r="57" customFormat="false" ht="15" hidden="false" customHeight="false" outlineLevel="0" collapsed="false">
      <c r="A57" s="12" t="s">
        <v>68</v>
      </c>
      <c r="B57" s="7" t="s">
        <v>385</v>
      </c>
      <c r="C57" s="12" t="s">
        <v>64</v>
      </c>
      <c r="D57" s="35" t="n">
        <v>125</v>
      </c>
      <c r="E57" s="35" t="n">
        <v>60</v>
      </c>
      <c r="F57" s="35" t="n">
        <v>55</v>
      </c>
      <c r="G57" s="35" t="n">
        <v>130</v>
      </c>
      <c r="H57" s="36" t="n">
        <v>0.3</v>
      </c>
      <c r="I57" s="7" t="s">
        <v>61</v>
      </c>
      <c r="J57" s="7" t="s">
        <v>415</v>
      </c>
    </row>
    <row r="58" customFormat="false" ht="15" hidden="false" customHeight="false" outlineLevel="0" collapsed="false">
      <c r="A58" s="11" t="s">
        <v>72</v>
      </c>
      <c r="B58" s="5" t="s">
        <v>390</v>
      </c>
      <c r="C58" s="11" t="s">
        <v>64</v>
      </c>
      <c r="D58" s="33" t="n">
        <v>200</v>
      </c>
      <c r="E58" s="33" t="n">
        <v>100</v>
      </c>
      <c r="F58" s="33" t="n">
        <v>90</v>
      </c>
      <c r="G58" s="33" t="n">
        <v>210</v>
      </c>
      <c r="H58" s="34" t="n">
        <v>0.4</v>
      </c>
      <c r="I58" s="5" t="s">
        <v>73</v>
      </c>
      <c r="J58" s="5" t="s">
        <v>415</v>
      </c>
    </row>
    <row r="59" customFormat="false" ht="15" hidden="false" customHeight="false" outlineLevel="0" collapsed="false">
      <c r="A59" s="12" t="s">
        <v>72</v>
      </c>
      <c r="B59" s="7" t="s">
        <v>386</v>
      </c>
      <c r="C59" s="12" t="s">
        <v>64</v>
      </c>
      <c r="D59" s="35" t="n">
        <v>80</v>
      </c>
      <c r="E59" s="35" t="n">
        <v>40</v>
      </c>
      <c r="F59" s="35" t="n">
        <v>38</v>
      </c>
      <c r="G59" s="35" t="n">
        <v>82</v>
      </c>
      <c r="H59" s="36" t="n">
        <v>0.2</v>
      </c>
      <c r="I59" s="7" t="s">
        <v>73</v>
      </c>
      <c r="J59" s="7" t="s">
        <v>415</v>
      </c>
    </row>
    <row r="60" customFormat="false" ht="15" hidden="false" customHeight="false" outlineLevel="0" collapsed="false">
      <c r="A60" s="11" t="s">
        <v>79</v>
      </c>
      <c r="B60" s="5" t="s">
        <v>390</v>
      </c>
      <c r="C60" s="11" t="s">
        <v>64</v>
      </c>
      <c r="D60" s="33" t="n">
        <v>210</v>
      </c>
      <c r="E60" s="33" t="n">
        <v>80</v>
      </c>
      <c r="F60" s="33" t="n">
        <v>75</v>
      </c>
      <c r="G60" s="33" t="n">
        <v>215</v>
      </c>
      <c r="H60" s="34" t="n">
        <v>0.3</v>
      </c>
      <c r="I60" s="5" t="s">
        <v>73</v>
      </c>
      <c r="J60" s="5" t="s">
        <v>415</v>
      </c>
    </row>
    <row r="61" customFormat="false" ht="15" hidden="false" customHeight="false" outlineLevel="0" collapsed="false">
      <c r="A61" s="12" t="s">
        <v>79</v>
      </c>
      <c r="B61" s="7" t="s">
        <v>391</v>
      </c>
      <c r="C61" s="12" t="s">
        <v>64</v>
      </c>
      <c r="D61" s="35" t="n">
        <v>150</v>
      </c>
      <c r="E61" s="35" t="n">
        <v>60</v>
      </c>
      <c r="F61" s="35" t="n">
        <v>55</v>
      </c>
      <c r="G61" s="35" t="n">
        <v>155</v>
      </c>
      <c r="H61" s="36" t="n">
        <v>0.4</v>
      </c>
      <c r="I61" s="7" t="s">
        <v>73</v>
      </c>
      <c r="J61" s="7" t="s">
        <v>415</v>
      </c>
    </row>
    <row r="62" customFormat="false" ht="15" hidden="false" customHeight="false" outlineLevel="0" collapsed="false">
      <c r="A62" s="11" t="s">
        <v>83</v>
      </c>
      <c r="B62" s="5" t="s">
        <v>384</v>
      </c>
      <c r="C62" s="11" t="s">
        <v>86</v>
      </c>
      <c r="D62" s="33" t="n">
        <v>40</v>
      </c>
      <c r="E62" s="33" t="n">
        <v>20</v>
      </c>
      <c r="F62" s="33" t="n">
        <v>18</v>
      </c>
      <c r="G62" s="33" t="n">
        <v>42</v>
      </c>
      <c r="H62" s="34" t="n">
        <v>0.5</v>
      </c>
      <c r="I62" s="5" t="s">
        <v>61</v>
      </c>
      <c r="J62" s="5" t="s">
        <v>416</v>
      </c>
    </row>
    <row r="63" customFormat="false" ht="15" hidden="false" customHeight="false" outlineLevel="0" collapsed="false">
      <c r="A63" s="12" t="s">
        <v>83</v>
      </c>
      <c r="B63" s="7" t="s">
        <v>385</v>
      </c>
      <c r="C63" s="12" t="s">
        <v>64</v>
      </c>
      <c r="D63" s="35" t="n">
        <v>130</v>
      </c>
      <c r="E63" s="35" t="n">
        <v>50</v>
      </c>
      <c r="F63" s="35" t="n">
        <v>47</v>
      </c>
      <c r="G63" s="35" t="n">
        <v>133</v>
      </c>
      <c r="H63" s="36" t="n">
        <v>0.3</v>
      </c>
      <c r="I63" s="7" t="s">
        <v>61</v>
      </c>
      <c r="J63" s="7" t="s">
        <v>415</v>
      </c>
    </row>
    <row r="64" customFormat="false" ht="15" hidden="false" customHeight="false" outlineLevel="0" collapsed="false">
      <c r="A64" s="11" t="s">
        <v>90</v>
      </c>
      <c r="B64" s="5" t="s">
        <v>384</v>
      </c>
      <c r="C64" s="11" t="s">
        <v>86</v>
      </c>
      <c r="D64" s="33" t="n">
        <v>42</v>
      </c>
      <c r="E64" s="33" t="n">
        <v>15</v>
      </c>
      <c r="F64" s="33" t="n">
        <v>16</v>
      </c>
      <c r="G64" s="33" t="n">
        <v>41</v>
      </c>
      <c r="H64" s="34" t="n">
        <v>0.2</v>
      </c>
      <c r="I64" s="5" t="s">
        <v>61</v>
      </c>
      <c r="J64" s="5" t="s">
        <v>416</v>
      </c>
    </row>
    <row r="65" customFormat="false" ht="15" hidden="false" customHeight="false" outlineLevel="0" collapsed="false">
      <c r="A65" s="12" t="s">
        <v>94</v>
      </c>
      <c r="B65" s="7" t="s">
        <v>388</v>
      </c>
      <c r="C65" s="12" t="s">
        <v>389</v>
      </c>
      <c r="D65" s="35" t="n">
        <v>500</v>
      </c>
      <c r="E65" s="35" t="n">
        <v>200</v>
      </c>
      <c r="F65" s="35" t="n">
        <v>180</v>
      </c>
      <c r="G65" s="35" t="n">
        <v>520</v>
      </c>
      <c r="H65" s="36" t="n">
        <v>0.4</v>
      </c>
      <c r="I65" s="7" t="s">
        <v>95</v>
      </c>
      <c r="J65" s="7" t="s">
        <v>416</v>
      </c>
    </row>
    <row r="66" customFormat="false" ht="15" hidden="false" customHeight="false" outlineLevel="0" collapsed="false">
      <c r="A66" s="11" t="s">
        <v>94</v>
      </c>
      <c r="B66" s="5" t="s">
        <v>387</v>
      </c>
      <c r="C66" s="11" t="s">
        <v>64</v>
      </c>
      <c r="D66" s="33" t="n">
        <v>60</v>
      </c>
      <c r="E66" s="33" t="n">
        <v>20</v>
      </c>
      <c r="F66" s="33" t="n">
        <v>18</v>
      </c>
      <c r="G66" s="33" t="n">
        <v>62</v>
      </c>
      <c r="H66" s="34" t="n">
        <v>0.3</v>
      </c>
      <c r="I66" s="5" t="s">
        <v>95</v>
      </c>
      <c r="J66" s="5" t="s">
        <v>415</v>
      </c>
    </row>
    <row r="67" customFormat="false" ht="15" hidden="false" customHeight="false" outlineLevel="0" collapsed="false">
      <c r="A67" s="12" t="s">
        <v>103</v>
      </c>
      <c r="B67" s="7" t="s">
        <v>388</v>
      </c>
      <c r="C67" s="12" t="s">
        <v>389</v>
      </c>
      <c r="D67" s="35" t="n">
        <v>520</v>
      </c>
      <c r="E67" s="35" t="n">
        <v>100</v>
      </c>
      <c r="F67" s="35" t="n">
        <v>95</v>
      </c>
      <c r="G67" s="35" t="n">
        <v>525</v>
      </c>
      <c r="H67" s="36" t="n">
        <v>0.2</v>
      </c>
      <c r="I67" s="7" t="s">
        <v>95</v>
      </c>
      <c r="J67" s="7" t="s">
        <v>416</v>
      </c>
    </row>
    <row r="68" customFormat="false" ht="15" hidden="false" customHeight="false" outlineLevel="0" collapsed="false">
      <c r="A68" s="11" t="s">
        <v>107</v>
      </c>
      <c r="B68" s="5" t="s">
        <v>390</v>
      </c>
      <c r="C68" s="11" t="s">
        <v>64</v>
      </c>
      <c r="D68" s="33" t="n">
        <v>215</v>
      </c>
      <c r="E68" s="33" t="n">
        <v>100</v>
      </c>
      <c r="F68" s="33" t="n">
        <v>95</v>
      </c>
      <c r="G68" s="33" t="n">
        <v>220</v>
      </c>
      <c r="H68" s="34" t="n">
        <v>0.4</v>
      </c>
      <c r="I68" s="5" t="s">
        <v>73</v>
      </c>
      <c r="J68" s="5" t="s">
        <v>415</v>
      </c>
    </row>
    <row r="69" customFormat="false" ht="15" hidden="false" customHeight="false" outlineLevel="0" collapsed="false">
      <c r="A69" s="12" t="s">
        <v>110</v>
      </c>
      <c r="B69" s="7" t="s">
        <v>391</v>
      </c>
      <c r="C69" s="12" t="s">
        <v>64</v>
      </c>
      <c r="D69" s="35" t="n">
        <v>155</v>
      </c>
      <c r="E69" s="35" t="n">
        <v>80</v>
      </c>
      <c r="F69" s="35" t="n">
        <v>78</v>
      </c>
      <c r="G69" s="35" t="n">
        <v>157</v>
      </c>
      <c r="H69" s="36" t="n">
        <v>0.3</v>
      </c>
      <c r="I69" s="7" t="s">
        <v>73</v>
      </c>
      <c r="J69" s="7" t="s">
        <v>415</v>
      </c>
    </row>
    <row r="70" customFormat="false" ht="15" hidden="false" customHeight="false" outlineLevel="0" collapsed="false">
      <c r="A70" s="11" t="s">
        <v>113</v>
      </c>
      <c r="B70" s="5" t="s">
        <v>384</v>
      </c>
      <c r="C70" s="11" t="s">
        <v>86</v>
      </c>
      <c r="D70" s="33" t="n">
        <v>41</v>
      </c>
      <c r="E70" s="33" t="n">
        <v>25</v>
      </c>
      <c r="F70" s="33" t="n">
        <v>22</v>
      </c>
      <c r="G70" s="33" t="n">
        <v>44</v>
      </c>
      <c r="H70" s="34" t="n">
        <v>0.5</v>
      </c>
      <c r="I70" s="5" t="s">
        <v>61</v>
      </c>
      <c r="J70" s="5" t="s">
        <v>416</v>
      </c>
    </row>
    <row r="71" customFormat="false" ht="15" hidden="false" customHeight="false" outlineLevel="0" collapsed="false">
      <c r="A71" s="12" t="s">
        <v>116</v>
      </c>
      <c r="B71" s="7" t="s">
        <v>384</v>
      </c>
      <c r="C71" s="12" t="s">
        <v>86</v>
      </c>
      <c r="D71" s="35" t="n">
        <v>44</v>
      </c>
      <c r="E71" s="35" t="n">
        <v>20</v>
      </c>
      <c r="F71" s="35" t="n">
        <v>18</v>
      </c>
      <c r="G71" s="35" t="n">
        <v>46</v>
      </c>
      <c r="H71" s="36" t="n">
        <v>0.4</v>
      </c>
      <c r="I71" s="7" t="s">
        <v>61</v>
      </c>
      <c r="J71" s="7" t="s">
        <v>416</v>
      </c>
    </row>
  </sheetData>
  <mergeCells count="6">
    <mergeCell ref="A1:Q1"/>
    <mergeCell ref="A2:Q2"/>
    <mergeCell ref="A4:Q4"/>
    <mergeCell ref="A30:Q30"/>
    <mergeCell ref="A52:F52"/>
    <mergeCell ref="A54:Q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6" t="s">
        <v>417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3" customFormat="false" ht="15" hidden="false" customHeight="false" outlineLevel="0" collapsed="false">
      <c r="A3" s="18" t="s">
        <v>418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customFormat="false" ht="35.05" hidden="false" customHeight="false" outlineLevel="0" collapsed="false">
      <c r="A4" s="24" t="s">
        <v>419</v>
      </c>
      <c r="B4" s="24" t="s">
        <v>420</v>
      </c>
      <c r="C4" s="24" t="s">
        <v>57</v>
      </c>
      <c r="D4" s="24" t="s">
        <v>421</v>
      </c>
      <c r="E4" s="24" t="s">
        <v>422</v>
      </c>
      <c r="F4" s="24" t="s">
        <v>423</v>
      </c>
      <c r="G4" s="24" t="s">
        <v>398</v>
      </c>
      <c r="H4" s="24" t="s">
        <v>424</v>
      </c>
      <c r="I4" s="24" t="s">
        <v>425</v>
      </c>
      <c r="J4" s="24" t="s">
        <v>399</v>
      </c>
      <c r="K4" s="24" t="s">
        <v>426</v>
      </c>
      <c r="L4" s="24" t="s">
        <v>427</v>
      </c>
      <c r="M4" s="24" t="s">
        <v>428</v>
      </c>
      <c r="N4" s="24" t="s">
        <v>429</v>
      </c>
    </row>
    <row r="5" customFormat="false" ht="15" hidden="false" customHeight="false" outlineLevel="0" collapsed="false">
      <c r="A5" s="37" t="s">
        <v>430</v>
      </c>
      <c r="B5" s="38" t="s">
        <v>431</v>
      </c>
      <c r="C5" s="37" t="s">
        <v>64</v>
      </c>
      <c r="D5" s="39" t="n">
        <v>45000</v>
      </c>
      <c r="E5" s="39" t="n">
        <v>175</v>
      </c>
      <c r="F5" s="27" t="n">
        <f aca="false">D5*E5</f>
        <v>7875000</v>
      </c>
      <c r="G5" s="39" t="n">
        <v>180</v>
      </c>
      <c r="H5" s="27" t="n">
        <f aca="false">D5*G5</f>
        <v>8100000</v>
      </c>
      <c r="I5" s="39" t="n">
        <v>5950</v>
      </c>
      <c r="J5" s="39" t="n">
        <v>185</v>
      </c>
      <c r="K5" s="27" t="n">
        <f aca="false">I5*J5</f>
        <v>1100750</v>
      </c>
      <c r="L5" s="28" t="n">
        <f aca="false">IF(D5&lt;&gt;0,I5/D5,0)</f>
        <v>0.132222222222222</v>
      </c>
      <c r="M5" s="27" t="n">
        <f aca="false">K5-H5</f>
        <v>-6999250</v>
      </c>
      <c r="N5" s="28" t="n">
        <f aca="false">IF(H5&lt;&gt;0,M5/H5,0)</f>
        <v>-0.864104938271605</v>
      </c>
    </row>
    <row r="6" customFormat="false" ht="15" hidden="false" customHeight="false" outlineLevel="0" collapsed="false">
      <c r="A6" s="40" t="s">
        <v>432</v>
      </c>
      <c r="B6" s="41" t="s">
        <v>433</v>
      </c>
      <c r="C6" s="40" t="s">
        <v>64</v>
      </c>
      <c r="D6" s="42" t="n">
        <v>38000</v>
      </c>
      <c r="E6" s="42" t="n">
        <v>115</v>
      </c>
      <c r="F6" s="29" t="n">
        <f aca="false">D6*E6</f>
        <v>4370000</v>
      </c>
      <c r="G6" s="42" t="n">
        <v>120</v>
      </c>
      <c r="H6" s="29" t="n">
        <f aca="false">D6*G6</f>
        <v>4560000</v>
      </c>
      <c r="I6" s="42" t="n">
        <v>4100</v>
      </c>
      <c r="J6" s="42" t="n">
        <v>118</v>
      </c>
      <c r="K6" s="29" t="n">
        <f aca="false">I6*J6</f>
        <v>483800</v>
      </c>
      <c r="L6" s="30" t="n">
        <f aca="false">IF(D6&lt;&gt;0,I6/D6,0)</f>
        <v>0.107894736842105</v>
      </c>
      <c r="M6" s="29" t="n">
        <f aca="false">K6-H6</f>
        <v>-4076200</v>
      </c>
      <c r="N6" s="30" t="n">
        <f aca="false">IF(H6&lt;&gt;0,M6/H6,0)</f>
        <v>-0.89390350877193</v>
      </c>
    </row>
    <row r="7" customFormat="false" ht="15" hidden="false" customHeight="false" outlineLevel="0" collapsed="false">
      <c r="A7" s="37" t="s">
        <v>434</v>
      </c>
      <c r="B7" s="38" t="s">
        <v>435</v>
      </c>
      <c r="C7" s="37" t="s">
        <v>64</v>
      </c>
      <c r="D7" s="39" t="n">
        <v>9500</v>
      </c>
      <c r="E7" s="39" t="n">
        <v>780</v>
      </c>
      <c r="F7" s="27" t="n">
        <f aca="false">D7*E7</f>
        <v>7410000</v>
      </c>
      <c r="G7" s="39" t="n">
        <v>800</v>
      </c>
      <c r="H7" s="27" t="n">
        <f aca="false">D7*G7</f>
        <v>7600000</v>
      </c>
      <c r="I7" s="39" t="n">
        <v>1380</v>
      </c>
      <c r="J7" s="39" t="n">
        <v>810</v>
      </c>
      <c r="K7" s="27" t="n">
        <f aca="false">I7*J7</f>
        <v>1117800</v>
      </c>
      <c r="L7" s="28" t="n">
        <f aca="false">IF(D7&lt;&gt;0,I7/D7,0)</f>
        <v>0.145263157894737</v>
      </c>
      <c r="M7" s="27" t="n">
        <f aca="false">K7-H7</f>
        <v>-6482200</v>
      </c>
      <c r="N7" s="28" t="n">
        <f aca="false">IF(H7&lt;&gt;0,M7/H7,0)</f>
        <v>-0.852921052631579</v>
      </c>
    </row>
    <row r="8" customFormat="false" ht="15" hidden="false" customHeight="false" outlineLevel="0" collapsed="false">
      <c r="A8" s="40" t="s">
        <v>436</v>
      </c>
      <c r="B8" s="41" t="s">
        <v>437</v>
      </c>
      <c r="C8" s="40" t="s">
        <v>64</v>
      </c>
      <c r="D8" s="42" t="n">
        <v>7200</v>
      </c>
      <c r="E8" s="42" t="n">
        <v>880</v>
      </c>
      <c r="F8" s="29" t="n">
        <f aca="false">D8*E8</f>
        <v>6336000</v>
      </c>
      <c r="G8" s="42" t="n">
        <v>900</v>
      </c>
      <c r="H8" s="29" t="n">
        <f aca="false">D8*G8</f>
        <v>6480000</v>
      </c>
      <c r="I8" s="42" t="n">
        <v>1000</v>
      </c>
      <c r="J8" s="42" t="n">
        <v>920</v>
      </c>
      <c r="K8" s="29" t="n">
        <f aca="false">I8*J8</f>
        <v>920000</v>
      </c>
      <c r="L8" s="30" t="n">
        <f aca="false">IF(D8&lt;&gt;0,I8/D8,0)</f>
        <v>0.138888888888889</v>
      </c>
      <c r="M8" s="29" t="n">
        <f aca="false">K8-H8</f>
        <v>-5560000</v>
      </c>
      <c r="N8" s="30" t="n">
        <f aca="false">IF(H8&lt;&gt;0,M8/H8,0)</f>
        <v>-0.858024691358025</v>
      </c>
    </row>
    <row r="9" customFormat="false" ht="22.35" hidden="false" customHeight="false" outlineLevel="0" collapsed="false">
      <c r="A9" s="37" t="s">
        <v>438</v>
      </c>
      <c r="B9" s="38" t="s">
        <v>439</v>
      </c>
      <c r="C9" s="37" t="s">
        <v>86</v>
      </c>
      <c r="D9" s="39" t="n">
        <v>5800</v>
      </c>
      <c r="E9" s="39" t="n">
        <v>4400</v>
      </c>
      <c r="F9" s="27" t="n">
        <f aca="false">D9*E9</f>
        <v>25520000</v>
      </c>
      <c r="G9" s="39" t="n">
        <v>4500</v>
      </c>
      <c r="H9" s="27" t="n">
        <f aca="false">D9*G9</f>
        <v>26100000</v>
      </c>
      <c r="I9" s="39" t="n">
        <v>960</v>
      </c>
      <c r="J9" s="39" t="n">
        <v>4620</v>
      </c>
      <c r="K9" s="27" t="n">
        <f aca="false">I9*J9</f>
        <v>4435200</v>
      </c>
      <c r="L9" s="28" t="n">
        <f aca="false">IF(D9&lt;&gt;0,I9/D9,0)</f>
        <v>0.16551724137931</v>
      </c>
      <c r="M9" s="27" t="n">
        <f aca="false">K9-H9</f>
        <v>-21664800</v>
      </c>
      <c r="N9" s="28" t="n">
        <f aca="false">IF(H9&lt;&gt;0,M9/H9,0)</f>
        <v>-0.830068965517241</v>
      </c>
    </row>
    <row r="10" customFormat="false" ht="15" hidden="false" customHeight="false" outlineLevel="0" collapsed="false">
      <c r="A10" s="40" t="s">
        <v>440</v>
      </c>
      <c r="B10" s="41" t="s">
        <v>441</v>
      </c>
      <c r="C10" s="40" t="s">
        <v>86</v>
      </c>
      <c r="D10" s="42" t="n">
        <v>4200</v>
      </c>
      <c r="E10" s="42" t="n">
        <v>5100</v>
      </c>
      <c r="F10" s="29" t="n">
        <f aca="false">D10*E10</f>
        <v>21420000</v>
      </c>
      <c r="G10" s="42" t="n">
        <v>5200</v>
      </c>
      <c r="H10" s="29" t="n">
        <f aca="false">D10*G10</f>
        <v>21840000</v>
      </c>
      <c r="I10" s="42" t="n">
        <v>540</v>
      </c>
      <c r="J10" s="42" t="n">
        <v>5320</v>
      </c>
      <c r="K10" s="29" t="n">
        <f aca="false">I10*J10</f>
        <v>2872800</v>
      </c>
      <c r="L10" s="30" t="n">
        <f aca="false">IF(D10&lt;&gt;0,I10/D10,0)</f>
        <v>0.128571428571429</v>
      </c>
      <c r="M10" s="29" t="n">
        <f aca="false">K10-H10</f>
        <v>-18967200</v>
      </c>
      <c r="N10" s="30" t="n">
        <f aca="false">IF(H10&lt;&gt;0,M10/H10,0)</f>
        <v>-0.868461538461539</v>
      </c>
    </row>
    <row r="11" customFormat="false" ht="15" hidden="false" customHeight="false" outlineLevel="0" collapsed="false">
      <c r="A11" s="37" t="s">
        <v>442</v>
      </c>
      <c r="B11" s="38" t="s">
        <v>443</v>
      </c>
      <c r="C11" s="37" t="s">
        <v>98</v>
      </c>
      <c r="D11" s="39" t="n">
        <v>3600</v>
      </c>
      <c r="E11" s="39" t="n">
        <v>2750</v>
      </c>
      <c r="F11" s="27" t="n">
        <f aca="false">D11*E11</f>
        <v>9900000</v>
      </c>
      <c r="G11" s="39" t="n">
        <v>2800</v>
      </c>
      <c r="H11" s="27" t="n">
        <f aca="false">D11*G11</f>
        <v>10080000</v>
      </c>
      <c r="I11" s="39" t="n">
        <v>330</v>
      </c>
      <c r="J11" s="39" t="n">
        <v>2820</v>
      </c>
      <c r="K11" s="27" t="n">
        <f aca="false">I11*J11</f>
        <v>930600</v>
      </c>
      <c r="L11" s="28" t="n">
        <f aca="false">IF(D11&lt;&gt;0,I11/D11,0)</f>
        <v>0.0916666666666667</v>
      </c>
      <c r="M11" s="27" t="n">
        <f aca="false">K11-H11</f>
        <v>-9149400</v>
      </c>
      <c r="N11" s="28" t="n">
        <f aca="false">IF(H11&lt;&gt;0,M11/H11,0)</f>
        <v>-0.907678571428571</v>
      </c>
    </row>
    <row r="12" customFormat="false" ht="15" hidden="false" customHeight="false" outlineLevel="0" collapsed="false">
      <c r="A12" s="40" t="s">
        <v>444</v>
      </c>
      <c r="B12" s="41" t="s">
        <v>445</v>
      </c>
      <c r="C12" s="40" t="s">
        <v>64</v>
      </c>
      <c r="D12" s="42" t="n">
        <v>480</v>
      </c>
      <c r="E12" s="42" t="n">
        <v>8200</v>
      </c>
      <c r="F12" s="29" t="n">
        <f aca="false">D12*E12</f>
        <v>3936000</v>
      </c>
      <c r="G12" s="42" t="n">
        <v>8500</v>
      </c>
      <c r="H12" s="29" t="n">
        <f aca="false">D12*G12</f>
        <v>4080000</v>
      </c>
      <c r="I12" s="43" t="n">
        <v>0</v>
      </c>
      <c r="J12" s="42" t="n">
        <v>8600</v>
      </c>
      <c r="K12" s="29" t="n">
        <f aca="false">I12*J12</f>
        <v>0</v>
      </c>
      <c r="L12" s="30" t="n">
        <f aca="false">IF(D12&lt;&gt;0,I12/D12,0)</f>
        <v>0</v>
      </c>
      <c r="M12" s="29" t="n">
        <f aca="false">K12-H12</f>
        <v>-4080000</v>
      </c>
      <c r="N12" s="30" t="n">
        <f aca="false">IF(H12&lt;&gt;0,M12/H12,0)</f>
        <v>-1</v>
      </c>
    </row>
    <row r="13" customFormat="false" ht="15" hidden="false" customHeight="false" outlineLevel="0" collapsed="false">
      <c r="A13" s="37" t="s">
        <v>446</v>
      </c>
      <c r="B13" s="38" t="s">
        <v>447</v>
      </c>
      <c r="C13" s="37" t="s">
        <v>101</v>
      </c>
      <c r="D13" s="39" t="n">
        <v>36</v>
      </c>
      <c r="E13" s="39" t="n">
        <v>82000</v>
      </c>
      <c r="F13" s="27" t="n">
        <f aca="false">D13*E13</f>
        <v>2952000</v>
      </c>
      <c r="G13" s="39" t="n">
        <v>85000</v>
      </c>
      <c r="H13" s="27" t="n">
        <f aca="false">D13*G13</f>
        <v>3060000</v>
      </c>
      <c r="I13" s="39" t="n">
        <v>2</v>
      </c>
      <c r="J13" s="39" t="n">
        <v>87500</v>
      </c>
      <c r="K13" s="27" t="n">
        <f aca="false">I13*J13</f>
        <v>175000</v>
      </c>
      <c r="L13" s="28" t="n">
        <f aca="false">IF(D13&lt;&gt;0,I13/D13,0)</f>
        <v>0.0555555555555556</v>
      </c>
      <c r="M13" s="27" t="n">
        <f aca="false">K13-H13</f>
        <v>-2885000</v>
      </c>
      <c r="N13" s="28" t="n">
        <f aca="false">IF(H13&lt;&gt;0,M13/H13,0)</f>
        <v>-0.94281045751634</v>
      </c>
    </row>
    <row r="14" customFormat="false" ht="15" hidden="false" customHeight="false" outlineLevel="0" collapsed="false">
      <c r="A14" s="40" t="s">
        <v>448</v>
      </c>
      <c r="B14" s="41" t="s">
        <v>449</v>
      </c>
      <c r="C14" s="40" t="s">
        <v>98</v>
      </c>
      <c r="D14" s="42" t="n">
        <v>22000</v>
      </c>
      <c r="E14" s="42" t="n">
        <v>440</v>
      </c>
      <c r="F14" s="29" t="n">
        <f aca="false">D14*E14</f>
        <v>9680000</v>
      </c>
      <c r="G14" s="42" t="n">
        <v>450</v>
      </c>
      <c r="H14" s="29" t="n">
        <f aca="false">D14*G14</f>
        <v>9900000</v>
      </c>
      <c r="I14" s="43" t="n">
        <v>0</v>
      </c>
      <c r="J14" s="42" t="n">
        <v>450</v>
      </c>
      <c r="K14" s="29" t="n">
        <f aca="false">I14*J14</f>
        <v>0</v>
      </c>
      <c r="L14" s="30" t="n">
        <f aca="false">IF(D14&lt;&gt;0,I14/D14,0)</f>
        <v>0</v>
      </c>
      <c r="M14" s="29" t="n">
        <f aca="false">K14-H14</f>
        <v>-9900000</v>
      </c>
      <c r="N14" s="30" t="n">
        <f aca="false">IF(H14&lt;&gt;0,M14/H14,0)</f>
        <v>-1</v>
      </c>
    </row>
    <row r="15" customFormat="false" ht="15" hidden="false" customHeight="false" outlineLevel="0" collapsed="false">
      <c r="A15" s="37" t="s">
        <v>450</v>
      </c>
      <c r="B15" s="38" t="s">
        <v>451</v>
      </c>
      <c r="C15" s="37" t="s">
        <v>101</v>
      </c>
      <c r="D15" s="39" t="n">
        <v>180</v>
      </c>
      <c r="E15" s="39" t="n">
        <v>18500</v>
      </c>
      <c r="F15" s="27" t="n">
        <f aca="false">D15*E15</f>
        <v>3330000</v>
      </c>
      <c r="G15" s="39" t="n">
        <v>19000</v>
      </c>
      <c r="H15" s="27" t="n">
        <f aca="false">D15*G15</f>
        <v>3420000</v>
      </c>
      <c r="I15" s="44" t="n">
        <v>0</v>
      </c>
      <c r="J15" s="39" t="n">
        <v>19200</v>
      </c>
      <c r="K15" s="27" t="n">
        <f aca="false">I15*J15</f>
        <v>0</v>
      </c>
      <c r="L15" s="28" t="n">
        <f aca="false">IF(D15&lt;&gt;0,I15/D15,0)</f>
        <v>0</v>
      </c>
      <c r="M15" s="27" t="n">
        <f aca="false">K15-H15</f>
        <v>-3420000</v>
      </c>
      <c r="N15" s="28" t="n">
        <f aca="false">IF(H15&lt;&gt;0,M15/H15,0)</f>
        <v>-1</v>
      </c>
    </row>
    <row r="16" customFormat="false" ht="15" hidden="false" customHeight="false" outlineLevel="0" collapsed="false">
      <c r="A16" s="40" t="s">
        <v>452</v>
      </c>
      <c r="B16" s="41" t="s">
        <v>274</v>
      </c>
      <c r="C16" s="40" t="s">
        <v>98</v>
      </c>
      <c r="D16" s="42" t="n">
        <v>8400</v>
      </c>
      <c r="E16" s="42" t="n">
        <v>340</v>
      </c>
      <c r="F16" s="29" t="n">
        <f aca="false">D16*E16</f>
        <v>2856000</v>
      </c>
      <c r="G16" s="42" t="n">
        <v>350</v>
      </c>
      <c r="H16" s="29" t="n">
        <f aca="false">D16*G16</f>
        <v>2940000</v>
      </c>
      <c r="I16" s="43" t="n">
        <v>0</v>
      </c>
      <c r="J16" s="42" t="n">
        <v>355</v>
      </c>
      <c r="K16" s="29" t="n">
        <f aca="false">I16*J16</f>
        <v>0</v>
      </c>
      <c r="L16" s="30" t="n">
        <f aca="false">IF(D16&lt;&gt;0,I16/D16,0)</f>
        <v>0</v>
      </c>
      <c r="M16" s="29" t="n">
        <f aca="false">K16-H16</f>
        <v>-2940000</v>
      </c>
      <c r="N16" s="30" t="n">
        <f aca="false">IF(H16&lt;&gt;0,M16/H16,0)</f>
        <v>-1</v>
      </c>
    </row>
    <row r="17" customFormat="false" ht="15" hidden="false" customHeight="false" outlineLevel="0" collapsed="false">
      <c r="A17" s="37" t="s">
        <v>453</v>
      </c>
      <c r="B17" s="38" t="s">
        <v>454</v>
      </c>
      <c r="C17" s="37" t="s">
        <v>64</v>
      </c>
      <c r="D17" s="39" t="n">
        <v>1200</v>
      </c>
      <c r="E17" s="39" t="n">
        <v>12500</v>
      </c>
      <c r="F17" s="27" t="n">
        <f aca="false">D17*E17</f>
        <v>15000000</v>
      </c>
      <c r="G17" s="39" t="n">
        <v>13000</v>
      </c>
      <c r="H17" s="27" t="n">
        <f aca="false">D17*G17</f>
        <v>15600000</v>
      </c>
      <c r="I17" s="44" t="n">
        <v>0</v>
      </c>
      <c r="J17" s="39" t="n">
        <v>13200</v>
      </c>
      <c r="K17" s="27" t="n">
        <f aca="false">I17*J17</f>
        <v>0</v>
      </c>
      <c r="L17" s="28" t="n">
        <f aca="false">IF(D17&lt;&gt;0,I17/D17,0)</f>
        <v>0</v>
      </c>
      <c r="M17" s="27" t="n">
        <f aca="false">K17-H17</f>
        <v>-15600000</v>
      </c>
      <c r="N17" s="28" t="n">
        <f aca="false">IF(H17&lt;&gt;0,M17/H17,0)</f>
        <v>-1</v>
      </c>
    </row>
    <row r="18" customFormat="false" ht="15" hidden="false" customHeight="false" outlineLevel="0" collapsed="false">
      <c r="A18" s="40" t="s">
        <v>455</v>
      </c>
      <c r="B18" s="41" t="s">
        <v>456</v>
      </c>
      <c r="C18" s="40" t="s">
        <v>98</v>
      </c>
      <c r="D18" s="42" t="n">
        <v>480</v>
      </c>
      <c r="E18" s="42" t="n">
        <v>185000</v>
      </c>
      <c r="F18" s="29" t="n">
        <f aca="false">D18*E18</f>
        <v>88800000</v>
      </c>
      <c r="G18" s="42" t="n">
        <v>190000</v>
      </c>
      <c r="H18" s="29" t="n">
        <f aca="false">D18*G18</f>
        <v>91200000</v>
      </c>
      <c r="I18" s="43" t="n">
        <v>0</v>
      </c>
      <c r="J18" s="42" t="n">
        <v>192000</v>
      </c>
      <c r="K18" s="29" t="n">
        <f aca="false">I18*J18</f>
        <v>0</v>
      </c>
      <c r="L18" s="30" t="n">
        <f aca="false">IF(D18&lt;&gt;0,I18/D18,0)</f>
        <v>0</v>
      </c>
      <c r="M18" s="29" t="n">
        <f aca="false">K18-H18</f>
        <v>-91200000</v>
      </c>
      <c r="N18" s="30" t="n">
        <f aca="false">IF(H18&lt;&gt;0,M18/H18,0)</f>
        <v>-1</v>
      </c>
    </row>
    <row r="19" customFormat="false" ht="15" hidden="false" customHeight="false" outlineLevel="0" collapsed="false">
      <c r="A19" s="37" t="s">
        <v>457</v>
      </c>
      <c r="B19" s="38" t="s">
        <v>458</v>
      </c>
      <c r="C19" s="37" t="s">
        <v>459</v>
      </c>
      <c r="D19" s="39" t="n">
        <v>1</v>
      </c>
      <c r="E19" s="39" t="n">
        <v>8500000</v>
      </c>
      <c r="F19" s="27" t="n">
        <f aca="false">D19*E19</f>
        <v>8500000</v>
      </c>
      <c r="G19" s="39" t="n">
        <v>8500000</v>
      </c>
      <c r="H19" s="27" t="n">
        <f aca="false">D19*G19</f>
        <v>8500000</v>
      </c>
      <c r="I19" s="39" t="n">
        <v>1</v>
      </c>
      <c r="J19" s="39" t="n">
        <v>8500000</v>
      </c>
      <c r="K19" s="27" t="n">
        <f aca="false">I19*J19</f>
        <v>8500000</v>
      </c>
      <c r="L19" s="28" t="n">
        <f aca="false">IF(D19&lt;&gt;0,I19/D19,0)</f>
        <v>1</v>
      </c>
      <c r="M19" s="27" t="n">
        <f aca="false">K19-H19</f>
        <v>0</v>
      </c>
      <c r="N19" s="28" t="n">
        <f aca="false">IF(H19&lt;&gt;0,M19/H19,0)</f>
        <v>0</v>
      </c>
    </row>
    <row r="20" customFormat="false" ht="15" hidden="false" customHeight="true" outlineLevel="0" collapsed="false">
      <c r="A20" s="19" t="s">
        <v>460</v>
      </c>
      <c r="B20" s="19"/>
      <c r="C20" s="19"/>
      <c r="D20" s="19"/>
      <c r="E20" s="19"/>
      <c r="F20" s="31" t="n">
        <f aca="false">SUM(F5:F19)</f>
        <v>217885000</v>
      </c>
      <c r="G20" s="10"/>
      <c r="H20" s="31" t="n">
        <f aca="false">SUM(H5:H19)</f>
        <v>223460000</v>
      </c>
      <c r="I20" s="10"/>
      <c r="J20" s="10"/>
      <c r="K20" s="31" t="n">
        <f aca="false">SUM(K5:K19)</f>
        <v>20535950</v>
      </c>
      <c r="L20" s="10"/>
      <c r="M20" s="31" t="n">
        <f aca="false">SUM(M5:M19)</f>
        <v>-202924050</v>
      </c>
      <c r="N20" s="10"/>
    </row>
  </sheetData>
  <mergeCells count="3">
    <mergeCell ref="A1:P1"/>
    <mergeCell ref="A3:P3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16" t="s">
        <v>461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23.85" hidden="false" customHeight="false" outlineLevel="0" collapsed="false">
      <c r="A3" s="24" t="s">
        <v>462</v>
      </c>
      <c r="B3" s="24" t="s">
        <v>463</v>
      </c>
      <c r="C3" s="24" t="s">
        <v>464</v>
      </c>
      <c r="D3" s="24" t="s">
        <v>465</v>
      </c>
      <c r="E3" s="24" t="s">
        <v>466</v>
      </c>
      <c r="F3" s="24" t="s">
        <v>467</v>
      </c>
      <c r="G3" s="24" t="s">
        <v>468</v>
      </c>
      <c r="H3" s="24" t="s">
        <v>469</v>
      </c>
      <c r="I3" s="24" t="s">
        <v>470</v>
      </c>
      <c r="J3" s="24" t="s">
        <v>59</v>
      </c>
    </row>
    <row r="4" customFormat="false" ht="15" hidden="false" customHeight="false" outlineLevel="0" collapsed="false">
      <c r="A4" s="5" t="s">
        <v>471</v>
      </c>
      <c r="B4" s="5" t="s">
        <v>472</v>
      </c>
      <c r="C4" s="5" t="s">
        <v>473</v>
      </c>
      <c r="D4" s="11" t="s">
        <v>474</v>
      </c>
      <c r="E4" s="11" t="s">
        <v>475</v>
      </c>
      <c r="F4" s="5" t="s">
        <v>476</v>
      </c>
      <c r="G4" s="5" t="s">
        <v>477</v>
      </c>
      <c r="H4" s="45" t="s">
        <v>478</v>
      </c>
      <c r="I4" s="5" t="s">
        <v>479</v>
      </c>
      <c r="J4" s="5" t="s">
        <v>480</v>
      </c>
    </row>
    <row r="5" customFormat="false" ht="15" hidden="false" customHeight="false" outlineLevel="0" collapsed="false">
      <c r="A5" s="7" t="s">
        <v>481</v>
      </c>
      <c r="B5" s="7" t="s">
        <v>482</v>
      </c>
      <c r="C5" s="7" t="s">
        <v>473</v>
      </c>
      <c r="D5" s="12" t="s">
        <v>483</v>
      </c>
      <c r="E5" s="12" t="s">
        <v>475</v>
      </c>
      <c r="F5" s="7" t="s">
        <v>476</v>
      </c>
      <c r="G5" s="7" t="s">
        <v>484</v>
      </c>
      <c r="H5" s="46" t="s">
        <v>478</v>
      </c>
      <c r="I5" s="7" t="s">
        <v>485</v>
      </c>
      <c r="J5" s="7" t="s">
        <v>486</v>
      </c>
    </row>
    <row r="6" customFormat="false" ht="15" hidden="false" customHeight="false" outlineLevel="0" collapsed="false">
      <c r="A6" s="5" t="s">
        <v>487</v>
      </c>
      <c r="B6" s="5" t="s">
        <v>488</v>
      </c>
      <c r="C6" s="5" t="s">
        <v>473</v>
      </c>
      <c r="D6" s="11" t="s">
        <v>483</v>
      </c>
      <c r="E6" s="11" t="s">
        <v>489</v>
      </c>
      <c r="F6" s="5" t="s">
        <v>476</v>
      </c>
      <c r="G6" s="5" t="s">
        <v>490</v>
      </c>
      <c r="H6" s="45" t="s">
        <v>478</v>
      </c>
      <c r="I6" s="5" t="s">
        <v>491</v>
      </c>
      <c r="J6" s="5" t="s">
        <v>492</v>
      </c>
    </row>
    <row r="7" customFormat="false" ht="15" hidden="false" customHeight="false" outlineLevel="0" collapsed="false">
      <c r="A7" s="7" t="s">
        <v>493</v>
      </c>
      <c r="B7" s="7" t="s">
        <v>494</v>
      </c>
      <c r="C7" s="7" t="s">
        <v>473</v>
      </c>
      <c r="D7" s="12" t="s">
        <v>495</v>
      </c>
      <c r="E7" s="12" t="s">
        <v>489</v>
      </c>
      <c r="F7" s="7" t="s">
        <v>476</v>
      </c>
      <c r="G7" s="7" t="s">
        <v>496</v>
      </c>
      <c r="H7" s="46" t="s">
        <v>478</v>
      </c>
      <c r="I7" s="7" t="s">
        <v>497</v>
      </c>
      <c r="J7" s="7" t="s">
        <v>498</v>
      </c>
    </row>
    <row r="8" customFormat="false" ht="15" hidden="false" customHeight="false" outlineLevel="0" collapsed="false">
      <c r="A8" s="5" t="s">
        <v>499</v>
      </c>
      <c r="B8" s="5" t="s">
        <v>500</v>
      </c>
      <c r="C8" s="5" t="s">
        <v>473</v>
      </c>
      <c r="D8" s="11" t="s">
        <v>483</v>
      </c>
      <c r="E8" s="11" t="s">
        <v>501</v>
      </c>
      <c r="F8" s="5" t="s">
        <v>476</v>
      </c>
      <c r="G8" s="5" t="s">
        <v>502</v>
      </c>
      <c r="H8" s="45" t="s">
        <v>478</v>
      </c>
      <c r="I8" s="5" t="s">
        <v>503</v>
      </c>
      <c r="J8" s="5" t="s">
        <v>504</v>
      </c>
    </row>
    <row r="9" customFormat="false" ht="15" hidden="false" customHeight="false" outlineLevel="0" collapsed="false">
      <c r="A9" s="7" t="s">
        <v>505</v>
      </c>
      <c r="B9" s="7" t="s">
        <v>506</v>
      </c>
      <c r="C9" s="7" t="s">
        <v>473</v>
      </c>
      <c r="D9" s="12" t="s">
        <v>495</v>
      </c>
      <c r="E9" s="12" t="s">
        <v>475</v>
      </c>
      <c r="F9" s="7" t="s">
        <v>476</v>
      </c>
      <c r="G9" s="7" t="s">
        <v>507</v>
      </c>
      <c r="H9" s="46" t="s">
        <v>478</v>
      </c>
      <c r="I9" s="7" t="s">
        <v>508</v>
      </c>
      <c r="J9" s="7" t="s">
        <v>509</v>
      </c>
    </row>
    <row r="10" customFormat="false" ht="15" hidden="false" customHeight="false" outlineLevel="0" collapsed="false">
      <c r="A10" s="5" t="s">
        <v>510</v>
      </c>
      <c r="B10" s="5" t="s">
        <v>511</v>
      </c>
      <c r="C10" s="5" t="s">
        <v>473</v>
      </c>
      <c r="D10" s="11" t="s">
        <v>495</v>
      </c>
      <c r="E10" s="11" t="s">
        <v>512</v>
      </c>
      <c r="F10" s="5" t="s">
        <v>476</v>
      </c>
      <c r="G10" s="5" t="s">
        <v>513</v>
      </c>
      <c r="H10" s="45" t="s">
        <v>478</v>
      </c>
      <c r="I10" s="5" t="s">
        <v>514</v>
      </c>
      <c r="J10" s="5" t="s">
        <v>515</v>
      </c>
    </row>
    <row r="11" customFormat="false" ht="22.35" hidden="false" customHeight="false" outlineLevel="0" collapsed="false">
      <c r="A11" s="7" t="s">
        <v>516</v>
      </c>
      <c r="B11" s="7" t="s">
        <v>517</v>
      </c>
      <c r="C11" s="7" t="s">
        <v>518</v>
      </c>
      <c r="D11" s="12" t="s">
        <v>483</v>
      </c>
      <c r="E11" s="12" t="s">
        <v>519</v>
      </c>
      <c r="F11" s="7" t="s">
        <v>476</v>
      </c>
      <c r="G11" s="7" t="s">
        <v>520</v>
      </c>
      <c r="H11" s="46" t="s">
        <v>478</v>
      </c>
      <c r="I11" s="7" t="s">
        <v>521</v>
      </c>
      <c r="J11" s="7" t="s">
        <v>522</v>
      </c>
    </row>
    <row r="12" customFormat="false" ht="15" hidden="false" customHeight="false" outlineLevel="0" collapsed="false">
      <c r="A12" s="5" t="s">
        <v>523</v>
      </c>
      <c r="B12" s="5" t="s">
        <v>524</v>
      </c>
      <c r="C12" s="5" t="s">
        <v>518</v>
      </c>
      <c r="D12" s="11" t="s">
        <v>483</v>
      </c>
      <c r="E12" s="11" t="s">
        <v>519</v>
      </c>
      <c r="F12" s="5" t="s">
        <v>476</v>
      </c>
      <c r="G12" s="5" t="s">
        <v>525</v>
      </c>
      <c r="H12" s="45" t="s">
        <v>478</v>
      </c>
      <c r="I12" s="5" t="s">
        <v>526</v>
      </c>
      <c r="J12" s="5" t="s">
        <v>527</v>
      </c>
    </row>
    <row r="13" customFormat="false" ht="15" hidden="false" customHeight="false" outlineLevel="0" collapsed="false">
      <c r="A13" s="7" t="s">
        <v>528</v>
      </c>
      <c r="B13" s="7" t="s">
        <v>529</v>
      </c>
      <c r="C13" s="7" t="s">
        <v>518</v>
      </c>
      <c r="D13" s="12" t="s">
        <v>483</v>
      </c>
      <c r="E13" s="12" t="s">
        <v>530</v>
      </c>
      <c r="F13" s="7" t="s">
        <v>476</v>
      </c>
      <c r="G13" s="7" t="s">
        <v>531</v>
      </c>
      <c r="H13" s="46" t="s">
        <v>478</v>
      </c>
      <c r="I13" s="7" t="s">
        <v>532</v>
      </c>
      <c r="J13" s="7" t="s">
        <v>533</v>
      </c>
    </row>
    <row r="14" customFormat="false" ht="15" hidden="false" customHeight="false" outlineLevel="0" collapsed="false">
      <c r="A14" s="5" t="s">
        <v>534</v>
      </c>
      <c r="B14" s="5" t="s">
        <v>535</v>
      </c>
      <c r="C14" s="5" t="s">
        <v>518</v>
      </c>
      <c r="D14" s="11" t="s">
        <v>495</v>
      </c>
      <c r="E14" s="11" t="s">
        <v>475</v>
      </c>
      <c r="F14" s="5" t="s">
        <v>476</v>
      </c>
      <c r="G14" s="5" t="s">
        <v>536</v>
      </c>
      <c r="H14" s="45" t="s">
        <v>478</v>
      </c>
      <c r="I14" s="5" t="s">
        <v>537</v>
      </c>
      <c r="J14" s="5" t="s">
        <v>538</v>
      </c>
    </row>
    <row r="15" customFormat="false" ht="15" hidden="false" customHeight="false" outlineLevel="0" collapsed="false">
      <c r="A15" s="7" t="s">
        <v>539</v>
      </c>
      <c r="B15" s="7" t="s">
        <v>540</v>
      </c>
      <c r="C15" s="7" t="s">
        <v>518</v>
      </c>
      <c r="D15" s="12" t="s">
        <v>495</v>
      </c>
      <c r="E15" s="12" t="s">
        <v>489</v>
      </c>
      <c r="F15" s="7" t="s">
        <v>476</v>
      </c>
      <c r="G15" s="7" t="s">
        <v>541</v>
      </c>
      <c r="H15" s="46" t="s">
        <v>478</v>
      </c>
      <c r="I15" s="7" t="s">
        <v>497</v>
      </c>
      <c r="J15" s="7" t="s">
        <v>542</v>
      </c>
    </row>
    <row r="16" customFormat="false" ht="15" hidden="false" customHeight="false" outlineLevel="0" collapsed="false">
      <c r="A16" s="5" t="s">
        <v>543</v>
      </c>
      <c r="B16" s="5" t="s">
        <v>544</v>
      </c>
      <c r="C16" s="5" t="s">
        <v>545</v>
      </c>
      <c r="D16" s="11" t="s">
        <v>483</v>
      </c>
      <c r="E16" s="11" t="s">
        <v>546</v>
      </c>
      <c r="F16" s="5" t="s">
        <v>547</v>
      </c>
      <c r="G16" s="5" t="s">
        <v>520</v>
      </c>
      <c r="H16" s="45" t="s">
        <v>478</v>
      </c>
      <c r="I16" s="5" t="s">
        <v>548</v>
      </c>
      <c r="J16" s="5" t="s">
        <v>549</v>
      </c>
    </row>
    <row r="17" customFormat="false" ht="15" hidden="false" customHeight="false" outlineLevel="0" collapsed="false">
      <c r="A17" s="7" t="s">
        <v>550</v>
      </c>
      <c r="B17" s="7" t="s">
        <v>551</v>
      </c>
      <c r="C17" s="7" t="s">
        <v>545</v>
      </c>
      <c r="D17" s="12" t="s">
        <v>495</v>
      </c>
      <c r="E17" s="12" t="s">
        <v>546</v>
      </c>
      <c r="F17" s="7" t="s">
        <v>547</v>
      </c>
      <c r="G17" s="7" t="s">
        <v>525</v>
      </c>
      <c r="H17" s="46" t="s">
        <v>478</v>
      </c>
      <c r="I17" s="7" t="s">
        <v>552</v>
      </c>
      <c r="J17" s="7" t="s">
        <v>553</v>
      </c>
    </row>
    <row r="18" customFormat="false" ht="15" hidden="false" customHeight="false" outlineLevel="0" collapsed="false">
      <c r="A18" s="5" t="s">
        <v>554</v>
      </c>
      <c r="B18" s="5" t="s">
        <v>555</v>
      </c>
      <c r="C18" s="5" t="s">
        <v>545</v>
      </c>
      <c r="D18" s="11" t="s">
        <v>483</v>
      </c>
      <c r="E18" s="11" t="s">
        <v>556</v>
      </c>
      <c r="F18" s="5" t="s">
        <v>547</v>
      </c>
      <c r="G18" s="5" t="s">
        <v>531</v>
      </c>
      <c r="H18" s="45" t="s">
        <v>478</v>
      </c>
      <c r="I18" s="5" t="s">
        <v>557</v>
      </c>
      <c r="J18" s="5" t="s">
        <v>558</v>
      </c>
    </row>
    <row r="19" customFormat="false" ht="15" hidden="false" customHeight="false" outlineLevel="0" collapsed="false">
      <c r="A19" s="7" t="s">
        <v>559</v>
      </c>
      <c r="B19" s="7" t="s">
        <v>560</v>
      </c>
      <c r="C19" s="7" t="s">
        <v>545</v>
      </c>
      <c r="D19" s="12" t="s">
        <v>495</v>
      </c>
      <c r="E19" s="12" t="s">
        <v>561</v>
      </c>
      <c r="F19" s="7" t="s">
        <v>547</v>
      </c>
      <c r="G19" s="7" t="s">
        <v>562</v>
      </c>
      <c r="H19" s="46" t="s">
        <v>478</v>
      </c>
      <c r="I19" s="7" t="s">
        <v>563</v>
      </c>
      <c r="J19" s="7" t="s">
        <v>564</v>
      </c>
    </row>
    <row r="20" customFormat="false" ht="22.35" hidden="false" customHeight="false" outlineLevel="0" collapsed="false">
      <c r="A20" s="5" t="s">
        <v>565</v>
      </c>
      <c r="B20" s="5" t="s">
        <v>566</v>
      </c>
      <c r="C20" s="5" t="s">
        <v>545</v>
      </c>
      <c r="D20" s="11" t="s">
        <v>495</v>
      </c>
      <c r="E20" s="11" t="s">
        <v>567</v>
      </c>
      <c r="F20" s="5" t="s">
        <v>568</v>
      </c>
      <c r="G20" s="5" t="s">
        <v>569</v>
      </c>
      <c r="H20" s="45" t="s">
        <v>478</v>
      </c>
      <c r="I20" s="5" t="s">
        <v>570</v>
      </c>
      <c r="J20" s="5" t="s">
        <v>571</v>
      </c>
    </row>
    <row r="21" customFormat="false" ht="15" hidden="false" customHeight="false" outlineLevel="0" collapsed="false">
      <c r="A21" s="7" t="s">
        <v>572</v>
      </c>
      <c r="B21" s="7" t="s">
        <v>573</v>
      </c>
      <c r="C21" s="7" t="s">
        <v>574</v>
      </c>
      <c r="D21" s="12" t="s">
        <v>483</v>
      </c>
      <c r="E21" s="12" t="s">
        <v>575</v>
      </c>
      <c r="F21" s="7" t="s">
        <v>576</v>
      </c>
      <c r="G21" s="7" t="s">
        <v>520</v>
      </c>
      <c r="H21" s="46" t="s">
        <v>478</v>
      </c>
      <c r="I21" s="7" t="s">
        <v>577</v>
      </c>
      <c r="J21" s="7" t="s">
        <v>578</v>
      </c>
    </row>
    <row r="22" customFormat="false" ht="15" hidden="false" customHeight="false" outlineLevel="0" collapsed="false">
      <c r="A22" s="5" t="s">
        <v>579</v>
      </c>
      <c r="B22" s="5" t="s">
        <v>580</v>
      </c>
      <c r="C22" s="5" t="s">
        <v>574</v>
      </c>
      <c r="D22" s="11" t="s">
        <v>483</v>
      </c>
      <c r="E22" s="11" t="s">
        <v>575</v>
      </c>
      <c r="F22" s="5" t="s">
        <v>576</v>
      </c>
      <c r="G22" s="5" t="s">
        <v>525</v>
      </c>
      <c r="H22" s="45" t="s">
        <v>478</v>
      </c>
      <c r="I22" s="5" t="s">
        <v>581</v>
      </c>
      <c r="J22" s="5" t="s">
        <v>582</v>
      </c>
    </row>
    <row r="23" customFormat="false" ht="15" hidden="false" customHeight="false" outlineLevel="0" collapsed="false">
      <c r="A23" s="7" t="s">
        <v>583</v>
      </c>
      <c r="B23" s="7" t="s">
        <v>584</v>
      </c>
      <c r="C23" s="7" t="s">
        <v>574</v>
      </c>
      <c r="D23" s="12" t="s">
        <v>495</v>
      </c>
      <c r="E23" s="12" t="s">
        <v>585</v>
      </c>
      <c r="F23" s="7" t="s">
        <v>576</v>
      </c>
      <c r="G23" s="7" t="s">
        <v>531</v>
      </c>
      <c r="H23" s="46" t="s">
        <v>478</v>
      </c>
      <c r="I23" s="7" t="s">
        <v>557</v>
      </c>
      <c r="J23" s="7" t="s">
        <v>586</v>
      </c>
    </row>
    <row r="24" customFormat="false" ht="15" hidden="false" customHeight="false" outlineLevel="0" collapsed="false">
      <c r="A24" s="5" t="s">
        <v>587</v>
      </c>
      <c r="B24" s="5" t="s">
        <v>588</v>
      </c>
      <c r="C24" s="5" t="s">
        <v>574</v>
      </c>
      <c r="D24" s="11" t="s">
        <v>495</v>
      </c>
      <c r="E24" s="11" t="s">
        <v>567</v>
      </c>
      <c r="F24" s="5" t="s">
        <v>576</v>
      </c>
      <c r="G24" s="5" t="s">
        <v>589</v>
      </c>
      <c r="H24" s="45" t="s">
        <v>478</v>
      </c>
      <c r="I24" s="5" t="s">
        <v>590</v>
      </c>
      <c r="J24" s="5" t="s">
        <v>591</v>
      </c>
    </row>
    <row r="25" customFormat="false" ht="15" hidden="false" customHeight="false" outlineLevel="0" collapsed="false">
      <c r="A25" s="7" t="s">
        <v>592</v>
      </c>
      <c r="B25" s="7" t="s">
        <v>593</v>
      </c>
      <c r="C25" s="7" t="s">
        <v>574</v>
      </c>
      <c r="D25" s="12" t="s">
        <v>495</v>
      </c>
      <c r="E25" s="12" t="s">
        <v>594</v>
      </c>
      <c r="F25" s="7" t="s">
        <v>576</v>
      </c>
      <c r="G25" s="7" t="s">
        <v>595</v>
      </c>
      <c r="H25" s="46" t="s">
        <v>478</v>
      </c>
      <c r="I25" s="7" t="s">
        <v>503</v>
      </c>
      <c r="J25" s="7" t="s">
        <v>596</v>
      </c>
    </row>
    <row r="26" customFormat="false" ht="15" hidden="false" customHeight="false" outlineLevel="0" collapsed="false">
      <c r="A26" s="5" t="s">
        <v>597</v>
      </c>
      <c r="B26" s="5" t="s">
        <v>598</v>
      </c>
      <c r="C26" s="5" t="s">
        <v>599</v>
      </c>
      <c r="D26" s="11" t="s">
        <v>474</v>
      </c>
      <c r="E26" s="11" t="s">
        <v>600</v>
      </c>
      <c r="F26" s="5" t="s">
        <v>601</v>
      </c>
      <c r="G26" s="5" t="s">
        <v>602</v>
      </c>
      <c r="H26" s="45" t="s">
        <v>478</v>
      </c>
      <c r="I26" s="5" t="s">
        <v>603</v>
      </c>
      <c r="J26" s="5" t="s">
        <v>604</v>
      </c>
    </row>
    <row r="27" customFormat="false" ht="15" hidden="false" customHeight="false" outlineLevel="0" collapsed="false">
      <c r="A27" s="7" t="s">
        <v>605</v>
      </c>
      <c r="B27" s="7" t="s">
        <v>606</v>
      </c>
      <c r="C27" s="7" t="s">
        <v>599</v>
      </c>
      <c r="D27" s="12" t="s">
        <v>495</v>
      </c>
      <c r="E27" s="12" t="s">
        <v>607</v>
      </c>
      <c r="F27" s="7" t="s">
        <v>608</v>
      </c>
      <c r="G27" s="7" t="s">
        <v>609</v>
      </c>
      <c r="H27" s="46" t="s">
        <v>478</v>
      </c>
      <c r="I27" s="7" t="s">
        <v>610</v>
      </c>
      <c r="J27" s="7" t="s">
        <v>611</v>
      </c>
    </row>
    <row r="28" customFormat="false" ht="15" hidden="false" customHeight="false" outlineLevel="0" collapsed="false">
      <c r="A28" s="5" t="s">
        <v>612</v>
      </c>
      <c r="B28" s="5" t="s">
        <v>613</v>
      </c>
      <c r="C28" s="5" t="s">
        <v>599</v>
      </c>
      <c r="D28" s="11" t="s">
        <v>483</v>
      </c>
      <c r="E28" s="11" t="s">
        <v>475</v>
      </c>
      <c r="F28" s="5" t="s">
        <v>614</v>
      </c>
      <c r="G28" s="5" t="s">
        <v>615</v>
      </c>
      <c r="H28" s="45" t="s">
        <v>478</v>
      </c>
      <c r="I28" s="5" t="s">
        <v>616</v>
      </c>
      <c r="J28" s="5" t="s">
        <v>617</v>
      </c>
    </row>
    <row r="29" customFormat="false" ht="15" hidden="false" customHeight="false" outlineLevel="0" collapsed="false">
      <c r="A29" s="7" t="s">
        <v>618</v>
      </c>
      <c r="B29" s="7" t="s">
        <v>619</v>
      </c>
      <c r="C29" s="7" t="s">
        <v>599</v>
      </c>
      <c r="D29" s="12" t="s">
        <v>483</v>
      </c>
      <c r="E29" s="12" t="s">
        <v>489</v>
      </c>
      <c r="F29" s="7" t="s">
        <v>620</v>
      </c>
      <c r="G29" s="7" t="s">
        <v>602</v>
      </c>
      <c r="H29" s="46" t="s">
        <v>478</v>
      </c>
      <c r="I29" s="7" t="s">
        <v>621</v>
      </c>
      <c r="J29" s="7" t="s">
        <v>622</v>
      </c>
    </row>
    <row r="30" customFormat="false" ht="15" hidden="false" customHeight="false" outlineLevel="0" collapsed="false">
      <c r="A30" s="5" t="s">
        <v>623</v>
      </c>
      <c r="B30" s="5" t="s">
        <v>624</v>
      </c>
      <c r="C30" s="5" t="s">
        <v>599</v>
      </c>
      <c r="D30" s="11" t="s">
        <v>483</v>
      </c>
      <c r="E30" s="11" t="s">
        <v>489</v>
      </c>
      <c r="F30" s="5" t="s">
        <v>625</v>
      </c>
      <c r="G30" s="5" t="s">
        <v>602</v>
      </c>
      <c r="H30" s="45" t="s">
        <v>478</v>
      </c>
      <c r="I30" s="5" t="s">
        <v>626</v>
      </c>
      <c r="J30" s="5" t="s">
        <v>627</v>
      </c>
    </row>
    <row r="31" customFormat="false" ht="22.35" hidden="false" customHeight="false" outlineLevel="0" collapsed="false">
      <c r="A31" s="7" t="s">
        <v>628</v>
      </c>
      <c r="B31" s="7" t="s">
        <v>629</v>
      </c>
      <c r="C31" s="7" t="s">
        <v>599</v>
      </c>
      <c r="D31" s="12" t="s">
        <v>495</v>
      </c>
      <c r="E31" s="12" t="s">
        <v>501</v>
      </c>
      <c r="F31" s="7" t="s">
        <v>630</v>
      </c>
      <c r="G31" s="7" t="s">
        <v>602</v>
      </c>
      <c r="H31" s="46" t="s">
        <v>478</v>
      </c>
      <c r="I31" s="7" t="s">
        <v>631</v>
      </c>
      <c r="J31" s="7" t="s">
        <v>632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2026-04-21T16:32:30Z</dcterms:created>
  <dc:creator>openpyxl</dc:creator>
  <dc:description/>
  <dc:language>en-US</dc:language>
  <cp:lastModifiedBy/>
  <dcterms:modified xsi:type="dcterms:W3CDTF">2026-04-21T16:32:31Z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